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tude\S6\Mr_Rojo\Projet\SiteActualite\Todo\"/>
    </mc:Choice>
  </mc:AlternateContent>
  <xr:revisionPtr revIDLastSave="0" documentId="13_ncr:1_{DF485AFC-4151-413F-8F58-1D127B1C7EB0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81029"/>
  <pivotCaches>
    <pivotCache cacheId="4" r:id="rId6"/>
  </pivotCaches>
</workbook>
</file>

<file path=xl/calcChain.xml><?xml version="1.0" encoding="utf-8"?>
<calcChain xmlns="http://schemas.openxmlformats.org/spreadsheetml/2006/main">
  <c r="J22" i="2" l="1"/>
  <c r="K22" i="2" s="1"/>
  <c r="J10" i="2"/>
  <c r="K10" i="2" s="1"/>
  <c r="J3" i="2"/>
  <c r="K3" i="2" s="1"/>
  <c r="B2" i="4"/>
  <c r="A2" i="4"/>
  <c r="K86" i="2"/>
  <c r="K85" i="2"/>
  <c r="K84" i="2"/>
  <c r="K83" i="2"/>
  <c r="K82" i="2"/>
  <c r="K81" i="2"/>
  <c r="K80" i="2"/>
  <c r="K79" i="2"/>
  <c r="J78" i="2"/>
  <c r="K78" i="2" s="1"/>
  <c r="K77" i="2"/>
  <c r="K76" i="2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<sst xmlns="http://schemas.openxmlformats.org/spreadsheetml/2006/main" count="278" uniqueCount="76">
  <si>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</si>
  <si>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</si>
  <si>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</si>
  <si>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</si>
  <si>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</si>
  <si>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</si>
  <si>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</si>
  <si>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</si>
  <si>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</si>
  <si>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</si>
  <si>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</si>
  <si>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</si>
  <si>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</si>
  <si>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</si>
  <si>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</si>
  <si>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</si>
  <si>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</si>
  <si>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</si>
  <si>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</si>
  <si>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</si>
  <si>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</si>
  <si>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</si>
  <si>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</si>
  <si>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</si>
  <si>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</si>
  <si>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</si>
  <si>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</si>
  <si>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</si>
  <si>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</si>
  <si>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</si>
  <si>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</si>
  <si>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</si>
  <si>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</si>
  <si>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</si>
  <si>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</si>
  <si>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</si>
  <si>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</si>
  <si>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</si>
  <si>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</si>
  <si>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</si>
  <si>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</si>
  <si>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</si>
  <si>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</si>
  <si>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</si>
  <si>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</si>
  <si>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</si>
  <si>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</si>
  <si>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</si>
  <si>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</si>
  <si>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</si>
  <si>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</si>
  <si>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</si>
  <si>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</si>
  <si>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</si>
  <si>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</si>
  <si>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</si>
  <si>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</si>
  <si>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</si>
  <si>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</si>
  <si>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</si>
  <si>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</si>
  <si>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</si>
  <si>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</si>
  <si>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</si>
  <si>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</si>
  <si>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</si>
  <si>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</si>
  <si>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</si>
  <si>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</si>
  <si>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</si>
  <si>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</si>
  <si>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</si>
  <si>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</si>
  <si>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Total général</t>
  </si>
  <si>
    <t>faire la conception du projet sans SGBDR</t>
  </si>
  <si>
    <t>faire la conception du projet SGBDR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</si>
</sst>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0" fillId="0" borderId="10" xfId="0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Book" refreshedDate="46111.362069328701" refreshedVersion="8" recordCount="83" xr:uid="{00000000-000A-0000-FFFF-FFFF00000000}">
  <cacheSource type="worksheet">
    <worksheetSource ref="B1:K8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m/>
        <s v="ETU003777" u="1"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2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s v="Conception"/>
    <s v="Base de donnee"/>
    <s v="faire la conception du projet"/>
    <m/>
    <s v="BDD"/>
    <x v="0"/>
    <n v="40"/>
    <n v="4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0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0"/>
    <n v="5"/>
    <n v="0"/>
  </r>
  <r>
    <s v="Conception"/>
    <s v="Base de donnee"/>
    <s v="verifier que la base de donnee  est bien adapter"/>
    <m/>
    <s v="BDD"/>
    <x v="0"/>
    <n v="5"/>
    <n v="0"/>
    <n v="5"/>
    <n v="0"/>
  </r>
  <r>
    <s v="CRUD Article"/>
    <s v="Back-office"/>
    <s v="Créer une formulaire pour Ajouter un article (les champs necessaires)"/>
    <s v="create_article.php"/>
    <s v="affichage"/>
    <x v="0"/>
    <n v="15"/>
    <n v="0"/>
    <n v="15"/>
    <n v="0"/>
  </r>
  <r>
    <s v="Integration TinyDocs"/>
    <s v="Back-office"/>
    <s v="Obtenir l'API key,Ajouter le script CDN et initialiser l'editeur"/>
    <s v="create_article.php"/>
    <s v="dependance"/>
    <x v="0"/>
    <n v="10"/>
    <n v="0"/>
    <n v="10"/>
    <n v="0"/>
  </r>
  <r>
    <s v="CRUD Article"/>
    <s v="Back-office"/>
    <s v="Gerer l'envoi du formulaire"/>
    <s v="create_article.php"/>
    <s v="metier"/>
    <x v="0"/>
    <n v="15"/>
    <n v="0"/>
    <n v="15"/>
    <n v="0"/>
  </r>
  <r>
    <s v="CRUD Article"/>
    <s v="Back-office"/>
    <s v="generation du slug (amin'ilay SEO)"/>
    <s v="create_article.php"/>
    <s v="metier"/>
    <x v="0"/>
    <n v="15"/>
    <n v="0"/>
    <n v="15"/>
    <n v="0"/>
  </r>
  <r>
    <s v="CRUD Article"/>
    <s v="Back-office"/>
    <s v="Insertion dans la base"/>
    <s v="create_article.php"/>
    <s v="persistance"/>
    <x v="0"/>
    <n v="15"/>
    <n v="0"/>
    <n v="15"/>
    <n v="0"/>
  </r>
  <r>
    <s v="CRUD Article"/>
    <s v="Front-office"/>
    <s v="Récupérer et afficher l'article"/>
    <s v="article.php"/>
    <s v="affichage"/>
    <x v="0"/>
    <n v="20"/>
    <n v="0"/>
    <n v="20"/>
    <n v="0"/>
  </r>
  <r>
    <s v="CRUD Article"/>
    <s v="Front-office"/>
    <s v="Mettre en place URL SEO(ao amin'ilay htaccess)"/>
    <s v="article.php"/>
    <s v="Integration"/>
    <x v="0"/>
    <n v="15"/>
    <n v="0"/>
    <n v="15"/>
    <n v="0"/>
  </r>
  <r>
    <s v="CRUD Article"/>
    <s v="Back-office"/>
    <s v="mettre en fin le upload image"/>
    <s v="upload.php"/>
    <s v="affichage"/>
    <x v="0"/>
    <n v="10"/>
    <n v="0"/>
    <n v="10"/>
    <n v="0"/>
  </r>
  <r>
    <s v="CRUD Article"/>
    <s v="Back-office"/>
    <s v="Configuration Tinydocs et type Mimme"/>
    <s v="upload.php"/>
    <s v="metier"/>
    <x v="0"/>
    <n v="20"/>
    <n v="0"/>
    <n v="20"/>
    <n v="0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0"/>
    <n v="5"/>
    <n v="0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5"/>
    <n v="35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50"/>
    <n v="5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45"/>
    <n v="45"/>
    <n v="0"/>
    <n v="1"/>
  </r>
  <r>
    <m/>
    <m/>
    <m/>
    <m/>
    <m/>
    <x v="1"/>
    <n v="45"/>
    <n v="45"/>
    <n v="0"/>
    <n v="1"/>
  </r>
  <r>
    <m/>
    <m/>
    <m/>
    <m/>
    <m/>
    <x v="1"/>
    <n v="60"/>
    <n v="60"/>
    <n v="0"/>
    <n v="1"/>
  </r>
  <r>
    <m/>
    <m/>
    <m/>
    <m/>
    <m/>
    <x v="1"/>
    <n v="45"/>
    <n v="4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15"/>
    <n v="15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20"/>
    <n v="2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15"/>
    <n v="15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4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m="1" x="2"/>
        <item h="1" x="1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baseColWidth="10" defaultColWidth="12.59765625" defaultRowHeight="15" customHeight="1"/>
  <cols>
    <col min="1" max="1" width="12.59765625" customWidth="1"/>
    <col min="2" max="2" width="42.86328125" customWidth="1"/>
    <col min="3" max="6" width="12.597656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5"/>
  <sheetViews>
    <sheetView tabSelected="1" topLeftCell="C6" workbookViewId="0">
      <selection activeCell="G25" sqref="G25"/>
    </sheetView>
  </sheetViews>
  <sheetFormatPr baseColWidth="10" defaultColWidth="12.59765625" defaultRowHeight="15" customHeight="1"/>
  <cols>
    <col min="1" max="1" width="5.86328125" customWidth="1"/>
    <col min="2" max="2" width="19" customWidth="1"/>
    <col min="3" max="3" width="18" customWidth="1"/>
    <col min="4" max="4" width="37.1328125" customWidth="1"/>
    <col min="5" max="5" width="16.3984375" customWidth="1"/>
    <col min="6" max="6" width="12.597656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29</v>
      </c>
      <c r="C2" s="19" t="s">
        <v>30</v>
      </c>
      <c r="D2" s="20" t="s">
        <v>74</v>
      </c>
      <c r="E2" s="8"/>
      <c r="F2" s="20" t="s">
        <v>31</v>
      </c>
      <c r="G2" s="8" t="s">
        <v>0</v>
      </c>
      <c r="H2" s="18">
        <v>20</v>
      </c>
      <c r="I2" s="18">
        <v>20</v>
      </c>
      <c r="J2" s="18">
        <f>H2-I2</f>
        <v>0</v>
      </c>
      <c r="K2" s="21">
        <f t="shared" ref="K2:K86" si="0">I2/(I2+J2)</f>
        <v>1</v>
      </c>
    </row>
    <row r="3" spans="1:11" ht="15.75" customHeight="1">
      <c r="A3" s="18">
        <v>2</v>
      </c>
      <c r="B3" s="8" t="s">
        <v>29</v>
      </c>
      <c r="C3" s="19" t="s">
        <v>30</v>
      </c>
      <c r="D3" s="20" t="s">
        <v>75</v>
      </c>
      <c r="E3" s="8"/>
      <c r="F3" s="20" t="s">
        <v>31</v>
      </c>
      <c r="G3" s="8" t="s">
        <v>2</v>
      </c>
      <c r="H3" s="18">
        <v>20</v>
      </c>
      <c r="I3" s="18">
        <v>20</v>
      </c>
      <c r="J3" s="18">
        <f>H3-I3</f>
        <v>0</v>
      </c>
      <c r="K3" s="21">
        <f t="shared" ref="K3" si="1">I3/(I3+J3)</f>
        <v>1</v>
      </c>
    </row>
    <row r="4" spans="1:11" ht="15.75" customHeight="1">
      <c r="A4" s="18">
        <v>3</v>
      </c>
      <c r="B4" s="8" t="s">
        <v>35</v>
      </c>
      <c r="C4" s="19" t="s">
        <v>32</v>
      </c>
      <c r="D4" s="20" t="s">
        <v>44</v>
      </c>
      <c r="E4" s="8"/>
      <c r="F4" s="20" t="s">
        <v>16</v>
      </c>
      <c r="G4" s="8" t="s">
        <v>0</v>
      </c>
      <c r="H4" s="18">
        <v>30</v>
      </c>
      <c r="I4" s="18">
        <v>30</v>
      </c>
      <c r="J4" s="18">
        <v>0</v>
      </c>
      <c r="K4" s="21">
        <f t="shared" si="0"/>
        <v>1</v>
      </c>
    </row>
    <row r="5" spans="1:11" ht="15.75" customHeight="1">
      <c r="A5" s="18">
        <v>4</v>
      </c>
      <c r="B5" s="8" t="s">
        <v>33</v>
      </c>
      <c r="C5" s="20" t="s">
        <v>15</v>
      </c>
      <c r="D5" s="20" t="s">
        <v>45</v>
      </c>
      <c r="E5" s="8" t="s">
        <v>34</v>
      </c>
      <c r="F5" s="20" t="s">
        <v>16</v>
      </c>
      <c r="G5" s="8" t="s">
        <v>2</v>
      </c>
      <c r="H5" s="18">
        <v>25</v>
      </c>
      <c r="I5" s="18">
        <v>25</v>
      </c>
      <c r="J5" s="18">
        <f t="shared" ref="J5:J75" si="2">H5-I5</f>
        <v>0</v>
      </c>
      <c r="K5" s="21">
        <f t="shared" si="0"/>
        <v>1</v>
      </c>
    </row>
    <row r="6" spans="1:11" ht="15.75" customHeight="1">
      <c r="A6" s="18">
        <v>5</v>
      </c>
      <c r="B6" s="8" t="s">
        <v>36</v>
      </c>
      <c r="C6" s="20" t="s">
        <v>39</v>
      </c>
      <c r="D6" s="20" t="s">
        <v>46</v>
      </c>
      <c r="E6" s="8" t="s">
        <v>40</v>
      </c>
      <c r="F6" s="20" t="s">
        <v>37</v>
      </c>
      <c r="G6" s="8" t="s">
        <v>0</v>
      </c>
      <c r="H6" s="18">
        <v>20</v>
      </c>
      <c r="I6" s="18">
        <v>20</v>
      </c>
      <c r="J6" s="18">
        <f t="shared" si="2"/>
        <v>0</v>
      </c>
      <c r="K6" s="21">
        <f t="shared" si="0"/>
        <v>1</v>
      </c>
    </row>
    <row r="7" spans="1:11" ht="15.75" customHeight="1">
      <c r="A7" s="18">
        <v>6</v>
      </c>
      <c r="B7" s="8" t="s">
        <v>36</v>
      </c>
      <c r="C7" s="20" t="s">
        <v>38</v>
      </c>
      <c r="D7" s="20" t="s">
        <v>47</v>
      </c>
      <c r="E7" s="8" t="s">
        <v>41</v>
      </c>
      <c r="F7" s="20" t="s">
        <v>37</v>
      </c>
      <c r="G7" s="8" t="s">
        <v>0</v>
      </c>
      <c r="H7" s="18">
        <v>15</v>
      </c>
      <c r="I7" s="18">
        <v>15</v>
      </c>
      <c r="J7" s="18">
        <f t="shared" si="2"/>
        <v>0</v>
      </c>
      <c r="K7" s="21">
        <f t="shared" si="0"/>
        <v>1</v>
      </c>
    </row>
    <row r="8" spans="1:11" ht="15.75" customHeight="1">
      <c r="A8" s="18">
        <v>7</v>
      </c>
      <c r="B8" s="8" t="s">
        <v>36</v>
      </c>
      <c r="C8" s="20" t="s">
        <v>42</v>
      </c>
      <c r="D8" s="20" t="s">
        <v>43</v>
      </c>
      <c r="E8" s="8" t="s">
        <v>41</v>
      </c>
      <c r="F8" s="20" t="s">
        <v>42</v>
      </c>
      <c r="G8" s="8" t="s">
        <v>0</v>
      </c>
      <c r="H8" s="18">
        <v>20</v>
      </c>
      <c r="I8" s="18">
        <v>20</v>
      </c>
      <c r="J8" s="18">
        <f t="shared" si="2"/>
        <v>0</v>
      </c>
      <c r="K8" s="21">
        <f t="shared" si="0"/>
        <v>1</v>
      </c>
    </row>
    <row r="9" spans="1:11" ht="15.75" customHeight="1">
      <c r="A9" s="18">
        <v>8</v>
      </c>
      <c r="B9" s="8" t="s">
        <v>48</v>
      </c>
      <c r="C9" s="20" t="s">
        <v>49</v>
      </c>
      <c r="D9" s="20" t="s">
        <v>50</v>
      </c>
      <c r="E9" s="19"/>
      <c r="F9" s="20" t="s">
        <v>51</v>
      </c>
      <c r="G9" s="8" t="s">
        <v>0</v>
      </c>
      <c r="H9" s="18">
        <v>5</v>
      </c>
      <c r="I9" s="18">
        <v>5</v>
      </c>
      <c r="J9" s="18">
        <f t="shared" si="2"/>
        <v>0</v>
      </c>
      <c r="K9" s="21">
        <f t="shared" si="0"/>
        <v>1</v>
      </c>
    </row>
    <row r="10" spans="1:11" ht="15.75" customHeight="1">
      <c r="A10" s="18">
        <v>9</v>
      </c>
      <c r="B10" s="8" t="s">
        <v>48</v>
      </c>
      <c r="C10" s="20" t="s">
        <v>49</v>
      </c>
      <c r="D10" s="20" t="s">
        <v>50</v>
      </c>
      <c r="E10" s="19"/>
      <c r="F10" s="20" t="s">
        <v>51</v>
      </c>
      <c r="G10" s="8" t="s">
        <v>2</v>
      </c>
      <c r="H10" s="18">
        <v>5</v>
      </c>
      <c r="I10" s="18">
        <v>5</v>
      </c>
      <c r="J10" s="18">
        <f t="shared" ref="J10" si="3">H10-I10</f>
        <v>0</v>
      </c>
      <c r="K10" s="21">
        <f t="shared" ref="K10" si="4">I10/(I10+J10)</f>
        <v>1</v>
      </c>
    </row>
    <row r="11" spans="1:11" ht="15.75" customHeight="1">
      <c r="A11" s="18">
        <v>10</v>
      </c>
      <c r="B11" s="8" t="s">
        <v>29</v>
      </c>
      <c r="C11" s="20" t="s">
        <v>30</v>
      </c>
      <c r="D11" s="20" t="s">
        <v>52</v>
      </c>
      <c r="E11" s="19"/>
      <c r="F11" s="20" t="s">
        <v>31</v>
      </c>
      <c r="G11" s="8" t="s">
        <v>2</v>
      </c>
      <c r="H11" s="18">
        <v>5</v>
      </c>
      <c r="I11" s="18">
        <v>5</v>
      </c>
      <c r="J11" s="18">
        <f t="shared" si="2"/>
        <v>0</v>
      </c>
      <c r="K11" s="21">
        <f t="shared" si="0"/>
        <v>1</v>
      </c>
    </row>
    <row r="12" spans="1:11" ht="15.75" customHeight="1">
      <c r="A12" s="18">
        <v>11</v>
      </c>
      <c r="B12" s="8" t="s">
        <v>53</v>
      </c>
      <c r="C12" s="20" t="s">
        <v>39</v>
      </c>
      <c r="D12" s="20" t="s">
        <v>54</v>
      </c>
      <c r="E12" s="19" t="s">
        <v>55</v>
      </c>
      <c r="F12" s="20" t="s">
        <v>58</v>
      </c>
      <c r="G12" s="8" t="s">
        <v>0</v>
      </c>
      <c r="H12" s="18">
        <v>15</v>
      </c>
      <c r="I12" s="18">
        <v>15</v>
      </c>
      <c r="J12" s="18">
        <f t="shared" si="2"/>
        <v>0</v>
      </c>
      <c r="K12" s="21">
        <f t="shared" si="0"/>
        <v>1</v>
      </c>
    </row>
    <row r="13" spans="1:11" ht="15.75" customHeight="1">
      <c r="A13" s="18">
        <v>12</v>
      </c>
      <c r="B13" s="8" t="s">
        <v>56</v>
      </c>
      <c r="C13" s="20" t="s">
        <v>39</v>
      </c>
      <c r="D13" s="20" t="s">
        <v>72</v>
      </c>
      <c r="E13" s="19" t="s">
        <v>55</v>
      </c>
      <c r="F13" s="20" t="s">
        <v>59</v>
      </c>
      <c r="G13" s="8" t="s">
        <v>0</v>
      </c>
      <c r="H13" s="18">
        <v>10</v>
      </c>
      <c r="I13" s="8">
        <v>10</v>
      </c>
      <c r="J13" s="18">
        <f t="shared" si="2"/>
        <v>0</v>
      </c>
      <c r="K13" s="21">
        <f t="shared" si="0"/>
        <v>1</v>
      </c>
    </row>
    <row r="14" spans="1:11" ht="15.75" customHeight="1">
      <c r="A14" s="18">
        <v>13</v>
      </c>
      <c r="B14" s="8" t="s">
        <v>53</v>
      </c>
      <c r="C14" s="20" t="s">
        <v>39</v>
      </c>
      <c r="D14" s="20" t="s">
        <v>57</v>
      </c>
      <c r="E14" s="19" t="s">
        <v>55</v>
      </c>
      <c r="F14" s="20" t="s">
        <v>37</v>
      </c>
      <c r="G14" s="8" t="s">
        <v>0</v>
      </c>
      <c r="H14" s="18">
        <v>15</v>
      </c>
      <c r="I14" s="8">
        <v>15</v>
      </c>
      <c r="J14" s="18">
        <f t="shared" si="2"/>
        <v>0</v>
      </c>
      <c r="K14" s="21">
        <f t="shared" si="0"/>
        <v>1</v>
      </c>
    </row>
    <row r="15" spans="1:11" ht="15.75" customHeight="1">
      <c r="A15" s="18">
        <v>14</v>
      </c>
      <c r="B15" s="8" t="s">
        <v>53</v>
      </c>
      <c r="C15" s="20" t="s">
        <v>39</v>
      </c>
      <c r="D15" s="20" t="s">
        <v>61</v>
      </c>
      <c r="E15" s="19" t="s">
        <v>55</v>
      </c>
      <c r="F15" s="20" t="s">
        <v>37</v>
      </c>
      <c r="G15" s="8" t="s">
        <v>0</v>
      </c>
      <c r="H15" s="18">
        <v>15</v>
      </c>
      <c r="I15" s="8">
        <v>15</v>
      </c>
      <c r="J15" s="18">
        <f t="shared" si="2"/>
        <v>0</v>
      </c>
      <c r="K15" s="21">
        <f t="shared" si="0"/>
        <v>1</v>
      </c>
    </row>
    <row r="16" spans="1:11" ht="15.75" customHeight="1">
      <c r="A16" s="18">
        <v>15</v>
      </c>
      <c r="B16" s="8" t="s">
        <v>53</v>
      </c>
      <c r="C16" s="8" t="s">
        <v>39</v>
      </c>
      <c r="D16" s="29" t="s">
        <v>60</v>
      </c>
      <c r="E16" s="8" t="s">
        <v>55</v>
      </c>
      <c r="F16" s="20" t="s">
        <v>62</v>
      </c>
      <c r="G16" s="8" t="s">
        <v>0</v>
      </c>
      <c r="H16" s="18">
        <v>15</v>
      </c>
      <c r="I16" s="8">
        <v>15</v>
      </c>
      <c r="J16" s="18">
        <f t="shared" si="2"/>
        <v>0</v>
      </c>
      <c r="K16" s="21">
        <f t="shared" si="0"/>
        <v>1</v>
      </c>
    </row>
    <row r="17" spans="1:12" ht="15.75" customHeight="1">
      <c r="A17" s="18">
        <v>16</v>
      </c>
      <c r="B17" s="8" t="s">
        <v>53</v>
      </c>
      <c r="C17" s="20" t="s">
        <v>63</v>
      </c>
      <c r="D17" s="20" t="s">
        <v>64</v>
      </c>
      <c r="E17" s="8" t="s">
        <v>65</v>
      </c>
      <c r="F17" s="20" t="s">
        <v>58</v>
      </c>
      <c r="G17" s="8" t="s">
        <v>2</v>
      </c>
      <c r="H17" s="18">
        <v>20</v>
      </c>
      <c r="I17" s="18">
        <v>0</v>
      </c>
      <c r="J17" s="18">
        <f t="shared" si="2"/>
        <v>20</v>
      </c>
      <c r="K17" s="21">
        <f t="shared" si="0"/>
        <v>0</v>
      </c>
    </row>
    <row r="18" spans="1:12" ht="15.75" customHeight="1">
      <c r="A18" s="18">
        <v>17</v>
      </c>
      <c r="B18" s="8" t="s">
        <v>53</v>
      </c>
      <c r="C18" s="20" t="s">
        <v>63</v>
      </c>
      <c r="D18" s="20" t="s">
        <v>66</v>
      </c>
      <c r="E18" s="8" t="s">
        <v>65</v>
      </c>
      <c r="F18" s="20" t="s">
        <v>42</v>
      </c>
      <c r="G18" s="8" t="s">
        <v>2</v>
      </c>
      <c r="H18" s="18">
        <v>15</v>
      </c>
      <c r="I18" s="18">
        <v>0</v>
      </c>
      <c r="J18" s="18">
        <f t="shared" si="2"/>
        <v>15</v>
      </c>
      <c r="K18" s="21">
        <f t="shared" si="0"/>
        <v>0</v>
      </c>
    </row>
    <row r="19" spans="1:12" ht="15.75" customHeight="1">
      <c r="A19" s="18">
        <v>18</v>
      </c>
      <c r="B19" s="8" t="s">
        <v>53</v>
      </c>
      <c r="C19" s="20" t="s">
        <v>39</v>
      </c>
      <c r="D19" s="20" t="s">
        <v>67</v>
      </c>
      <c r="E19" s="8" t="s">
        <v>68</v>
      </c>
      <c r="F19" s="20" t="s">
        <v>58</v>
      </c>
      <c r="G19" s="8" t="s">
        <v>2</v>
      </c>
      <c r="H19" s="18">
        <v>10</v>
      </c>
      <c r="I19" s="18">
        <v>0</v>
      </c>
      <c r="J19" s="18">
        <f t="shared" si="2"/>
        <v>10</v>
      </c>
      <c r="K19" s="21">
        <f t="shared" si="0"/>
        <v>0</v>
      </c>
    </row>
    <row r="20" spans="1:12" ht="15.75" customHeight="1">
      <c r="A20" s="18">
        <v>19</v>
      </c>
      <c r="B20" s="8" t="s">
        <v>53</v>
      </c>
      <c r="C20" s="20" t="s">
        <v>39</v>
      </c>
      <c r="D20" s="19" t="s">
        <v>69</v>
      </c>
      <c r="E20" s="8" t="s">
        <v>68</v>
      </c>
      <c r="F20" s="20" t="s">
        <v>37</v>
      </c>
      <c r="G20" s="8" t="s">
        <v>2</v>
      </c>
      <c r="H20" s="18">
        <v>20</v>
      </c>
      <c r="I20" s="18">
        <v>0</v>
      </c>
      <c r="J20" s="18">
        <f t="shared" si="2"/>
        <v>20</v>
      </c>
      <c r="K20" s="21">
        <f t="shared" si="0"/>
        <v>0</v>
      </c>
      <c r="L20" s="20"/>
    </row>
    <row r="21" spans="1:12" ht="15.75" customHeight="1">
      <c r="A21" s="18">
        <v>20</v>
      </c>
      <c r="B21" s="8" t="s">
        <v>53</v>
      </c>
      <c r="C21" s="20" t="s">
        <v>70</v>
      </c>
      <c r="D21" s="20" t="s">
        <v>71</v>
      </c>
      <c r="E21" s="19"/>
      <c r="F21" s="20" t="s">
        <v>42</v>
      </c>
      <c r="G21" s="8" t="s">
        <v>0</v>
      </c>
      <c r="H21" s="18">
        <v>5</v>
      </c>
      <c r="I21" s="18">
        <v>0</v>
      </c>
      <c r="J21" s="18">
        <f t="shared" si="2"/>
        <v>5</v>
      </c>
      <c r="K21" s="21">
        <f t="shared" si="0"/>
        <v>0</v>
      </c>
    </row>
    <row r="22" spans="1:12" ht="15.75" customHeight="1">
      <c r="A22" s="18">
        <v>21</v>
      </c>
      <c r="B22" s="8" t="s">
        <v>53</v>
      </c>
      <c r="C22" s="20" t="s">
        <v>70</v>
      </c>
      <c r="D22" s="20" t="s">
        <v>71</v>
      </c>
      <c r="E22" s="19"/>
      <c r="F22" s="20" t="s">
        <v>42</v>
      </c>
      <c r="G22" s="8" t="s">
        <v>2</v>
      </c>
      <c r="H22" s="18">
        <v>5</v>
      </c>
      <c r="I22" s="18">
        <v>0</v>
      </c>
      <c r="J22" s="18">
        <f t="shared" ref="J22" si="5">H22-I22</f>
        <v>5</v>
      </c>
      <c r="K22" s="21">
        <f t="shared" ref="K22" si="6">I22/(I22+J22)</f>
        <v>0</v>
      </c>
    </row>
    <row r="23" spans="1:12" ht="15.75" customHeight="1">
      <c r="A23" s="18">
        <v>20</v>
      </c>
      <c r="B23" s="8"/>
      <c r="C23" s="20"/>
      <c r="D23" s="20"/>
      <c r="E23" s="19"/>
      <c r="F23" s="20"/>
      <c r="G23" s="8"/>
      <c r="H23" s="18">
        <v>30</v>
      </c>
      <c r="I23" s="18">
        <v>30</v>
      </c>
      <c r="J23" s="18">
        <f t="shared" si="2"/>
        <v>0</v>
      </c>
      <c r="K23" s="21">
        <f t="shared" si="0"/>
        <v>1</v>
      </c>
    </row>
    <row r="24" spans="1:12" ht="15.75" customHeight="1">
      <c r="A24" s="18">
        <v>21</v>
      </c>
      <c r="B24" s="8"/>
      <c r="C24" s="20"/>
      <c r="D24" s="20"/>
      <c r="E24" s="19"/>
      <c r="F24" s="20"/>
      <c r="G24" s="8"/>
      <c r="H24" s="18">
        <v>30</v>
      </c>
      <c r="I24" s="18">
        <v>30</v>
      </c>
      <c r="J24" s="18">
        <f t="shared" si="2"/>
        <v>0</v>
      </c>
      <c r="K24" s="21">
        <f t="shared" si="0"/>
        <v>1</v>
      </c>
    </row>
    <row r="25" spans="1:12" ht="15.75" customHeight="1">
      <c r="A25" s="18">
        <v>22</v>
      </c>
      <c r="B25" s="8"/>
      <c r="C25" s="20"/>
      <c r="D25" s="20"/>
      <c r="E25" s="19"/>
      <c r="F25" s="20"/>
      <c r="G25" s="8"/>
      <c r="H25" s="18">
        <v>30</v>
      </c>
      <c r="I25" s="18">
        <v>30</v>
      </c>
      <c r="J25" s="18">
        <f t="shared" si="2"/>
        <v>0</v>
      </c>
      <c r="K25" s="21">
        <f t="shared" si="0"/>
        <v>1</v>
      </c>
    </row>
    <row r="26" spans="1:12" ht="15.75" customHeight="1">
      <c r="A26" s="18">
        <v>23</v>
      </c>
      <c r="B26" s="8"/>
      <c r="C26" s="20"/>
      <c r="D26" s="20"/>
      <c r="E26" s="8"/>
      <c r="F26" s="20"/>
      <c r="G26" s="8"/>
      <c r="H26" s="18">
        <v>20</v>
      </c>
      <c r="I26" s="18">
        <v>20</v>
      </c>
      <c r="J26" s="18">
        <f t="shared" si="2"/>
        <v>0</v>
      </c>
      <c r="K26" s="21">
        <f t="shared" si="0"/>
        <v>1</v>
      </c>
    </row>
    <row r="27" spans="1:12" ht="15.75" customHeight="1">
      <c r="A27" s="18">
        <v>24</v>
      </c>
      <c r="B27" s="8"/>
      <c r="C27" s="20"/>
      <c r="D27" s="20"/>
      <c r="E27" s="8"/>
      <c r="F27" s="20"/>
      <c r="G27" s="8"/>
      <c r="H27" s="18">
        <v>60</v>
      </c>
      <c r="I27" s="18">
        <v>60</v>
      </c>
      <c r="J27" s="18">
        <f t="shared" si="2"/>
        <v>0</v>
      </c>
      <c r="K27" s="21">
        <f t="shared" si="0"/>
        <v>1</v>
      </c>
    </row>
    <row r="28" spans="1:12" ht="15.75" customHeight="1">
      <c r="A28" s="18">
        <v>25</v>
      </c>
      <c r="B28" s="8"/>
      <c r="C28" s="20"/>
      <c r="D28" s="20"/>
      <c r="E28" s="19"/>
      <c r="F28" s="20"/>
      <c r="G28" s="8"/>
      <c r="H28" s="18">
        <v>30</v>
      </c>
      <c r="I28" s="8">
        <v>30</v>
      </c>
      <c r="J28" s="18">
        <f t="shared" si="2"/>
        <v>0</v>
      </c>
      <c r="K28" s="21">
        <f t="shared" si="0"/>
        <v>1</v>
      </c>
    </row>
    <row r="29" spans="1:12" ht="15.75" customHeight="1">
      <c r="A29" s="18">
        <v>26</v>
      </c>
      <c r="B29" s="8"/>
      <c r="C29" s="20"/>
      <c r="D29" s="20"/>
      <c r="E29" s="19"/>
      <c r="F29" s="20"/>
      <c r="G29" s="8"/>
      <c r="H29" s="18">
        <v>30</v>
      </c>
      <c r="I29" s="8">
        <v>30</v>
      </c>
      <c r="J29" s="18">
        <f t="shared" si="2"/>
        <v>0</v>
      </c>
      <c r="K29" s="21">
        <f t="shared" si="0"/>
        <v>1</v>
      </c>
    </row>
    <row r="30" spans="1:12" ht="15.75" customHeight="1">
      <c r="A30" s="18">
        <v>27</v>
      </c>
      <c r="B30" s="8"/>
      <c r="C30" s="20"/>
      <c r="D30" s="20"/>
      <c r="E30" s="19"/>
      <c r="F30" s="20"/>
      <c r="G30" s="8"/>
      <c r="H30" s="18">
        <v>35</v>
      </c>
      <c r="I30" s="8">
        <v>35</v>
      </c>
      <c r="J30" s="18">
        <f t="shared" si="2"/>
        <v>0</v>
      </c>
      <c r="K30" s="21">
        <f t="shared" si="0"/>
        <v>1</v>
      </c>
    </row>
    <row r="31" spans="1:12" ht="15.75" customHeight="1">
      <c r="A31" s="18">
        <v>28</v>
      </c>
      <c r="B31" s="8"/>
      <c r="C31" s="20"/>
      <c r="D31" s="20"/>
      <c r="E31" s="19"/>
      <c r="F31" s="20"/>
      <c r="G31" s="8"/>
      <c r="H31" s="18">
        <v>60</v>
      </c>
      <c r="I31" s="8">
        <v>60</v>
      </c>
      <c r="J31" s="18">
        <f t="shared" si="2"/>
        <v>0</v>
      </c>
      <c r="K31" s="21">
        <f t="shared" si="0"/>
        <v>1</v>
      </c>
    </row>
    <row r="32" spans="1:12" ht="15.75" customHeight="1">
      <c r="A32" s="18">
        <v>29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2"/>
        <v>0</v>
      </c>
      <c r="K32" s="21">
        <f t="shared" si="0"/>
        <v>1</v>
      </c>
    </row>
    <row r="33" spans="1:11" ht="15.75" customHeight="1">
      <c r="A33" s="18">
        <v>30</v>
      </c>
      <c r="B33" s="8"/>
      <c r="C33" s="20"/>
      <c r="D33" s="20"/>
      <c r="E33" s="19"/>
      <c r="F33" s="20"/>
      <c r="G33" s="8"/>
      <c r="H33" s="18">
        <v>50</v>
      </c>
      <c r="I33" s="8">
        <v>50</v>
      </c>
      <c r="J33" s="18">
        <f t="shared" si="2"/>
        <v>0</v>
      </c>
      <c r="K33" s="21">
        <f t="shared" si="0"/>
        <v>1</v>
      </c>
    </row>
    <row r="34" spans="1:11" ht="15.75" customHeight="1">
      <c r="A34" s="18">
        <v>31</v>
      </c>
      <c r="B34" s="8"/>
      <c r="C34" s="20"/>
      <c r="D34" s="20"/>
      <c r="E34" s="19"/>
      <c r="F34" s="20"/>
      <c r="G34" s="8"/>
      <c r="H34" s="18">
        <v>90</v>
      </c>
      <c r="I34" s="8">
        <v>90</v>
      </c>
      <c r="J34" s="18">
        <f t="shared" si="2"/>
        <v>0</v>
      </c>
      <c r="K34" s="21">
        <f t="shared" si="0"/>
        <v>1</v>
      </c>
    </row>
    <row r="35" spans="1:11" ht="15.75" customHeight="1">
      <c r="A35" s="18">
        <v>32</v>
      </c>
      <c r="B35" s="8"/>
      <c r="C35" s="20"/>
      <c r="D35" s="20"/>
      <c r="E35" s="19"/>
      <c r="F35" s="20"/>
      <c r="G35" s="8"/>
      <c r="H35" s="18">
        <v>30</v>
      </c>
      <c r="I35" s="8">
        <v>30</v>
      </c>
      <c r="J35" s="18">
        <f t="shared" si="2"/>
        <v>0</v>
      </c>
      <c r="K35" s="21">
        <f t="shared" si="0"/>
        <v>1</v>
      </c>
    </row>
    <row r="36" spans="1:11" ht="15.75" customHeight="1">
      <c r="A36" s="18">
        <v>33</v>
      </c>
      <c r="B36" s="8"/>
      <c r="C36" s="20"/>
      <c r="D36" s="20"/>
      <c r="E36" s="19"/>
      <c r="F36" s="20"/>
      <c r="G36" s="8"/>
      <c r="H36" s="18">
        <v>60</v>
      </c>
      <c r="I36" s="8">
        <v>60</v>
      </c>
      <c r="J36" s="18">
        <f t="shared" si="2"/>
        <v>0</v>
      </c>
      <c r="K36" s="21">
        <f t="shared" si="0"/>
        <v>1</v>
      </c>
    </row>
    <row r="37" spans="1:11" ht="15.75" customHeight="1">
      <c r="A37" s="18">
        <v>34</v>
      </c>
      <c r="B37" s="8"/>
      <c r="C37" s="20"/>
      <c r="D37" s="20"/>
      <c r="E37" s="19"/>
      <c r="F37" s="20"/>
      <c r="G37" s="8"/>
      <c r="H37" s="18">
        <v>60</v>
      </c>
      <c r="I37" s="8">
        <v>60</v>
      </c>
      <c r="J37" s="18">
        <f t="shared" si="2"/>
        <v>0</v>
      </c>
      <c r="K37" s="21">
        <f t="shared" si="0"/>
        <v>1</v>
      </c>
    </row>
    <row r="38" spans="1:11" ht="15.75" customHeight="1">
      <c r="A38" s="18">
        <v>35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2"/>
        <v>0</v>
      </c>
      <c r="K38" s="21">
        <f t="shared" si="0"/>
        <v>1</v>
      </c>
    </row>
    <row r="39" spans="1:11" ht="15.75" customHeight="1">
      <c r="A39" s="18">
        <v>36</v>
      </c>
      <c r="B39" s="8"/>
      <c r="C39" s="20"/>
      <c r="D39" s="19"/>
      <c r="E39" s="19"/>
      <c r="F39" s="20"/>
      <c r="G39" s="8"/>
      <c r="H39" s="18">
        <v>60</v>
      </c>
      <c r="I39" s="8">
        <v>60</v>
      </c>
      <c r="J39" s="18">
        <f t="shared" si="2"/>
        <v>0</v>
      </c>
      <c r="K39" s="21">
        <f t="shared" si="0"/>
        <v>1</v>
      </c>
    </row>
    <row r="40" spans="1:11" ht="15.75" customHeight="1">
      <c r="A40" s="18">
        <v>37</v>
      </c>
      <c r="B40" s="8"/>
      <c r="C40" s="20"/>
      <c r="D40" s="19"/>
      <c r="E40" s="19"/>
      <c r="F40" s="20"/>
      <c r="G40" s="8"/>
      <c r="H40" s="18">
        <v>60</v>
      </c>
      <c r="I40" s="8">
        <v>60</v>
      </c>
      <c r="J40" s="18">
        <f t="shared" si="2"/>
        <v>0</v>
      </c>
      <c r="K40" s="21">
        <f t="shared" si="0"/>
        <v>1</v>
      </c>
    </row>
    <row r="41" spans="1:11" ht="15.75" customHeight="1">
      <c r="A41" s="18">
        <v>38</v>
      </c>
      <c r="B41" s="8"/>
      <c r="C41" s="20"/>
      <c r="D41" s="20"/>
      <c r="E41" s="19"/>
      <c r="F41" s="20"/>
      <c r="G41" s="8"/>
      <c r="H41" s="18">
        <v>60</v>
      </c>
      <c r="I41" s="8">
        <v>60</v>
      </c>
      <c r="J41" s="18">
        <f t="shared" si="2"/>
        <v>0</v>
      </c>
      <c r="K41" s="21">
        <f t="shared" si="0"/>
        <v>1</v>
      </c>
    </row>
    <row r="42" spans="1:11" ht="15.75" customHeight="1">
      <c r="A42" s="18">
        <v>39</v>
      </c>
      <c r="B42" s="8"/>
      <c r="C42" s="20"/>
      <c r="D42" s="20"/>
      <c r="E42" s="8"/>
      <c r="F42" s="20"/>
      <c r="G42" s="8"/>
      <c r="H42" s="18">
        <v>30</v>
      </c>
      <c r="I42" s="18">
        <v>30</v>
      </c>
      <c r="J42" s="18">
        <f t="shared" si="2"/>
        <v>0</v>
      </c>
      <c r="K42" s="21">
        <f t="shared" si="0"/>
        <v>1</v>
      </c>
    </row>
    <row r="43" spans="1:11" ht="15.75" customHeight="1">
      <c r="A43" s="18">
        <v>40</v>
      </c>
      <c r="B43" s="8"/>
      <c r="C43" s="20"/>
      <c r="D43" s="20"/>
      <c r="E43" s="19"/>
      <c r="F43" s="20"/>
      <c r="G43" s="8"/>
      <c r="H43" s="18">
        <v>30</v>
      </c>
      <c r="I43" s="18">
        <v>30</v>
      </c>
      <c r="J43" s="18">
        <f t="shared" si="2"/>
        <v>0</v>
      </c>
      <c r="K43" s="21">
        <f t="shared" si="0"/>
        <v>1</v>
      </c>
    </row>
    <row r="44" spans="1:11" ht="15.75" customHeight="1">
      <c r="A44" s="18">
        <v>41</v>
      </c>
      <c r="B44" s="8"/>
      <c r="C44" s="20"/>
      <c r="D44" s="20"/>
      <c r="E44" s="19"/>
      <c r="F44" s="20"/>
      <c r="G44" s="8"/>
      <c r="H44" s="18">
        <v>60</v>
      </c>
      <c r="I44" s="18">
        <v>60</v>
      </c>
      <c r="J44" s="18">
        <f t="shared" si="2"/>
        <v>0</v>
      </c>
      <c r="K44" s="21">
        <f t="shared" si="0"/>
        <v>1</v>
      </c>
    </row>
    <row r="45" spans="1:11" ht="15.75" customHeight="1">
      <c r="A45" s="18">
        <v>42</v>
      </c>
      <c r="B45" s="8"/>
      <c r="C45" s="20"/>
      <c r="D45" s="20"/>
      <c r="E45" s="19"/>
      <c r="F45" s="20"/>
      <c r="G45" s="8"/>
      <c r="H45" s="18">
        <v>60</v>
      </c>
      <c r="I45" s="18">
        <v>60</v>
      </c>
      <c r="J45" s="18">
        <f t="shared" si="2"/>
        <v>0</v>
      </c>
      <c r="K45" s="21">
        <f t="shared" si="0"/>
        <v>1</v>
      </c>
    </row>
    <row r="46" spans="1:11" ht="15.75" customHeight="1">
      <c r="A46" s="18">
        <v>43</v>
      </c>
      <c r="B46" s="8"/>
      <c r="C46" s="20"/>
      <c r="D46" s="20"/>
      <c r="E46" s="19"/>
      <c r="F46" s="20"/>
      <c r="G46" s="8"/>
      <c r="H46" s="18">
        <v>60</v>
      </c>
      <c r="I46" s="8">
        <v>60</v>
      </c>
      <c r="J46" s="18">
        <f t="shared" si="2"/>
        <v>0</v>
      </c>
      <c r="K46" s="21">
        <f t="shared" si="0"/>
        <v>1</v>
      </c>
    </row>
    <row r="47" spans="1:11" ht="15.75" customHeight="1">
      <c r="A47" s="18">
        <v>44</v>
      </c>
      <c r="B47" s="8"/>
      <c r="C47" s="20"/>
      <c r="D47" s="20"/>
      <c r="E47" s="19"/>
      <c r="F47" s="20"/>
      <c r="G47" s="8"/>
      <c r="H47" s="18">
        <v>90</v>
      </c>
      <c r="I47" s="8">
        <v>90</v>
      </c>
      <c r="J47" s="18">
        <f t="shared" si="2"/>
        <v>0</v>
      </c>
      <c r="K47" s="21">
        <f t="shared" si="0"/>
        <v>1</v>
      </c>
    </row>
    <row r="48" spans="1:11" ht="15.75" customHeight="1">
      <c r="A48" s="18">
        <v>45</v>
      </c>
      <c r="B48" s="8"/>
      <c r="C48" s="20"/>
      <c r="D48" s="20"/>
      <c r="E48" s="19"/>
      <c r="F48" s="20"/>
      <c r="G48" s="8"/>
      <c r="H48" s="18">
        <v>30</v>
      </c>
      <c r="I48" s="8">
        <v>30</v>
      </c>
      <c r="J48" s="18">
        <f t="shared" si="2"/>
        <v>0</v>
      </c>
      <c r="K48" s="21">
        <f t="shared" si="0"/>
        <v>1</v>
      </c>
    </row>
    <row r="49" spans="1:11" ht="15.75" customHeight="1">
      <c r="A49" s="18">
        <v>46</v>
      </c>
      <c r="B49" s="8"/>
      <c r="C49" s="20"/>
      <c r="D49" s="20"/>
      <c r="E49" s="8"/>
      <c r="F49" s="20"/>
      <c r="G49" s="8"/>
      <c r="H49" s="18">
        <v>30</v>
      </c>
      <c r="I49" s="8">
        <v>30</v>
      </c>
      <c r="J49" s="18">
        <f t="shared" si="2"/>
        <v>0</v>
      </c>
      <c r="K49" s="21">
        <f t="shared" si="0"/>
        <v>1</v>
      </c>
    </row>
    <row r="50" spans="1:11" ht="15.75" customHeight="1">
      <c r="A50" s="18">
        <v>47</v>
      </c>
      <c r="B50" s="8"/>
      <c r="C50" s="20"/>
      <c r="D50" s="20"/>
      <c r="E50" s="8"/>
      <c r="F50" s="20"/>
      <c r="G50" s="8"/>
      <c r="H50" s="18">
        <v>30</v>
      </c>
      <c r="I50" s="18">
        <v>30</v>
      </c>
      <c r="J50" s="18">
        <f t="shared" si="2"/>
        <v>0</v>
      </c>
      <c r="K50" s="21">
        <f t="shared" si="0"/>
        <v>1</v>
      </c>
    </row>
    <row r="51" spans="1:11" ht="15.75" customHeight="1">
      <c r="A51" s="18">
        <v>48</v>
      </c>
      <c r="B51" s="8"/>
      <c r="C51" s="20"/>
      <c r="D51" s="20"/>
      <c r="E51" s="8"/>
      <c r="F51" s="20"/>
      <c r="G51" s="8"/>
      <c r="H51" s="18">
        <v>45</v>
      </c>
      <c r="I51" s="8">
        <v>45</v>
      </c>
      <c r="J51" s="18">
        <f t="shared" si="2"/>
        <v>0</v>
      </c>
      <c r="K51" s="21">
        <f t="shared" si="0"/>
        <v>1</v>
      </c>
    </row>
    <row r="52" spans="1:11" ht="15.75" customHeight="1">
      <c r="A52" s="18">
        <v>49</v>
      </c>
      <c r="B52" s="8"/>
      <c r="C52" s="20"/>
      <c r="D52" s="20"/>
      <c r="E52" s="8"/>
      <c r="F52" s="20"/>
      <c r="G52" s="8"/>
      <c r="H52" s="18">
        <v>45</v>
      </c>
      <c r="I52" s="8">
        <v>45</v>
      </c>
      <c r="J52" s="18">
        <f t="shared" si="2"/>
        <v>0</v>
      </c>
      <c r="K52" s="21">
        <f t="shared" si="0"/>
        <v>1</v>
      </c>
    </row>
    <row r="53" spans="1:11" ht="15.75" customHeight="1">
      <c r="A53" s="18">
        <v>50</v>
      </c>
      <c r="B53" s="8"/>
      <c r="C53" s="20"/>
      <c r="D53" s="20"/>
      <c r="E53" s="8"/>
      <c r="F53" s="20"/>
      <c r="G53" s="8"/>
      <c r="H53" s="18">
        <v>60</v>
      </c>
      <c r="I53" s="8">
        <v>60</v>
      </c>
      <c r="J53" s="18">
        <f t="shared" si="2"/>
        <v>0</v>
      </c>
      <c r="K53" s="21">
        <f t="shared" si="0"/>
        <v>1</v>
      </c>
    </row>
    <row r="54" spans="1:11" ht="15.75" customHeight="1">
      <c r="A54" s="18">
        <v>51</v>
      </c>
      <c r="B54" s="8"/>
      <c r="C54" s="20"/>
      <c r="D54" s="20"/>
      <c r="E54" s="8"/>
      <c r="F54" s="20"/>
      <c r="G54" s="8"/>
      <c r="H54" s="18">
        <v>45</v>
      </c>
      <c r="I54" s="18">
        <v>45</v>
      </c>
      <c r="J54" s="18">
        <f t="shared" si="2"/>
        <v>0</v>
      </c>
      <c r="K54" s="21">
        <f t="shared" si="0"/>
        <v>1</v>
      </c>
    </row>
    <row r="55" spans="1:11" ht="15.75" customHeight="1">
      <c r="A55" s="18">
        <v>52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2"/>
        <v>0</v>
      </c>
      <c r="K55" s="21">
        <f t="shared" si="0"/>
        <v>1</v>
      </c>
    </row>
    <row r="56" spans="1:11" ht="15.75" customHeight="1">
      <c r="A56" s="18">
        <v>53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2"/>
        <v>0</v>
      </c>
      <c r="K56" s="21">
        <f t="shared" si="0"/>
        <v>1</v>
      </c>
    </row>
    <row r="57" spans="1:11" ht="15.75" customHeight="1">
      <c r="A57" s="18">
        <v>54</v>
      </c>
      <c r="B57" s="8"/>
      <c r="C57" s="20"/>
      <c r="D57" s="20"/>
      <c r="E57" s="8"/>
      <c r="F57" s="20"/>
      <c r="G57" s="8"/>
      <c r="H57" s="18">
        <v>30</v>
      </c>
      <c r="I57" s="18">
        <v>30</v>
      </c>
      <c r="J57" s="18">
        <f t="shared" si="2"/>
        <v>0</v>
      </c>
      <c r="K57" s="21">
        <f t="shared" si="0"/>
        <v>1</v>
      </c>
    </row>
    <row r="58" spans="1:11" ht="15.75" customHeight="1">
      <c r="A58" s="18">
        <v>55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2"/>
        <v>0</v>
      </c>
      <c r="K58" s="21">
        <f t="shared" si="0"/>
        <v>1</v>
      </c>
    </row>
    <row r="59" spans="1:11" ht="15.75" customHeight="1">
      <c r="A59" s="18">
        <v>56</v>
      </c>
      <c r="B59" s="8"/>
      <c r="C59" s="20"/>
      <c r="D59" s="20"/>
      <c r="E59" s="8"/>
      <c r="F59" s="20"/>
      <c r="G59" s="8"/>
      <c r="H59" s="18">
        <v>90</v>
      </c>
      <c r="I59" s="18">
        <v>90</v>
      </c>
      <c r="J59" s="18">
        <f t="shared" si="2"/>
        <v>0</v>
      </c>
      <c r="K59" s="21">
        <f t="shared" si="0"/>
        <v>1</v>
      </c>
    </row>
    <row r="60" spans="1:11" ht="15.75" customHeight="1">
      <c r="A60" s="18">
        <v>57</v>
      </c>
      <c r="B60" s="8"/>
      <c r="C60" s="20"/>
      <c r="D60" s="20"/>
      <c r="E60" s="8"/>
      <c r="F60" s="20"/>
      <c r="G60" s="8"/>
      <c r="H60" s="18">
        <v>30</v>
      </c>
      <c r="I60" s="18">
        <v>30</v>
      </c>
      <c r="J60" s="18">
        <f t="shared" si="2"/>
        <v>0</v>
      </c>
      <c r="K60" s="21">
        <f t="shared" si="0"/>
        <v>1</v>
      </c>
    </row>
    <row r="61" spans="1:11" ht="15.75" customHeight="1">
      <c r="A61" s="18">
        <v>58</v>
      </c>
      <c r="B61" s="8"/>
      <c r="C61" s="20"/>
      <c r="D61" s="20"/>
      <c r="E61" s="8"/>
      <c r="F61" s="20"/>
      <c r="G61" s="8"/>
      <c r="H61" s="18">
        <v>30</v>
      </c>
      <c r="I61" s="18">
        <v>30</v>
      </c>
      <c r="J61" s="18">
        <f t="shared" si="2"/>
        <v>0</v>
      </c>
      <c r="K61" s="21">
        <f t="shared" si="0"/>
        <v>1</v>
      </c>
    </row>
    <row r="62" spans="1:11" ht="15.75" customHeight="1">
      <c r="A62" s="18">
        <v>59</v>
      </c>
      <c r="B62" s="8"/>
      <c r="C62" s="20"/>
      <c r="D62" s="20"/>
      <c r="E62" s="8"/>
      <c r="F62" s="20"/>
      <c r="G62" s="8"/>
      <c r="H62" s="18">
        <v>20</v>
      </c>
      <c r="I62" s="18">
        <v>20</v>
      </c>
      <c r="J62" s="18">
        <f t="shared" si="2"/>
        <v>0</v>
      </c>
      <c r="K62" s="21">
        <f t="shared" si="0"/>
        <v>1</v>
      </c>
    </row>
    <row r="63" spans="1:11" ht="15.75" customHeight="1">
      <c r="A63" s="18">
        <v>60</v>
      </c>
      <c r="B63" s="8"/>
      <c r="C63" s="20"/>
      <c r="D63" s="20"/>
      <c r="E63" s="8"/>
      <c r="F63" s="20"/>
      <c r="G63" s="8"/>
      <c r="H63" s="18">
        <v>15</v>
      </c>
      <c r="I63" s="18">
        <v>15</v>
      </c>
      <c r="J63" s="18">
        <f t="shared" si="2"/>
        <v>0</v>
      </c>
      <c r="K63" s="21">
        <f t="shared" si="0"/>
        <v>1</v>
      </c>
    </row>
    <row r="64" spans="1:11" ht="15.75" customHeight="1">
      <c r="A64" s="18">
        <v>61</v>
      </c>
      <c r="B64" s="8"/>
      <c r="C64" s="20"/>
      <c r="D64" s="20"/>
      <c r="E64" s="8"/>
      <c r="F64" s="20"/>
      <c r="G64" s="8"/>
      <c r="H64" s="18">
        <v>30</v>
      </c>
      <c r="I64" s="18">
        <v>30</v>
      </c>
      <c r="J64" s="18">
        <f t="shared" si="2"/>
        <v>0</v>
      </c>
      <c r="K64" s="21">
        <f t="shared" si="0"/>
        <v>1</v>
      </c>
    </row>
    <row r="65" spans="1:11" ht="15.75" customHeight="1">
      <c r="A65" s="18">
        <v>62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2"/>
        <v>0</v>
      </c>
      <c r="K65" s="21">
        <f t="shared" si="0"/>
        <v>1</v>
      </c>
    </row>
    <row r="66" spans="1:11" ht="15.75" customHeight="1">
      <c r="A66" s="18">
        <v>63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2"/>
        <v>0</v>
      </c>
      <c r="K66" s="21">
        <f t="shared" si="0"/>
        <v>1</v>
      </c>
    </row>
    <row r="67" spans="1:11" ht="15.75" customHeight="1">
      <c r="A67" s="18">
        <v>64</v>
      </c>
      <c r="B67" s="8"/>
      <c r="C67" s="20"/>
      <c r="D67" s="20"/>
      <c r="E67" s="8"/>
      <c r="F67" s="20"/>
      <c r="G67" s="8"/>
      <c r="H67" s="18">
        <v>60</v>
      </c>
      <c r="I67" s="8">
        <v>60</v>
      </c>
      <c r="J67" s="18">
        <f t="shared" si="2"/>
        <v>0</v>
      </c>
      <c r="K67" s="21">
        <f t="shared" si="0"/>
        <v>1</v>
      </c>
    </row>
    <row r="68" spans="1:11" ht="15.75" customHeight="1">
      <c r="A68" s="18">
        <v>65</v>
      </c>
      <c r="B68" s="8"/>
      <c r="C68" s="20"/>
      <c r="D68" s="20"/>
      <c r="E68" s="8"/>
      <c r="F68" s="20"/>
      <c r="G68" s="8"/>
      <c r="H68" s="18">
        <v>60</v>
      </c>
      <c r="I68" s="8">
        <v>60</v>
      </c>
      <c r="J68" s="18">
        <f t="shared" si="2"/>
        <v>0</v>
      </c>
      <c r="K68" s="21">
        <f t="shared" si="0"/>
        <v>1</v>
      </c>
    </row>
    <row r="69" spans="1:11" ht="15.75" customHeight="1">
      <c r="A69" s="18">
        <v>66</v>
      </c>
      <c r="B69" s="8"/>
      <c r="C69" s="19"/>
      <c r="D69" s="19"/>
      <c r="E69" s="8"/>
      <c r="F69" s="19"/>
      <c r="G69" s="8"/>
      <c r="H69" s="18">
        <v>20</v>
      </c>
      <c r="I69" s="8">
        <v>20</v>
      </c>
      <c r="J69" s="18">
        <f t="shared" si="2"/>
        <v>0</v>
      </c>
      <c r="K69" s="21">
        <f t="shared" si="0"/>
        <v>1</v>
      </c>
    </row>
    <row r="70" spans="1:11" ht="15.75" customHeight="1">
      <c r="A70" s="18">
        <v>67</v>
      </c>
      <c r="B70" s="8"/>
      <c r="C70" s="19"/>
      <c r="D70" s="19"/>
      <c r="E70" s="8"/>
      <c r="F70" s="19"/>
      <c r="G70" s="8"/>
      <c r="H70" s="18">
        <v>20</v>
      </c>
      <c r="I70" s="8">
        <v>20</v>
      </c>
      <c r="J70" s="18">
        <f t="shared" si="2"/>
        <v>0</v>
      </c>
      <c r="K70" s="21">
        <f t="shared" si="0"/>
        <v>1</v>
      </c>
    </row>
    <row r="71" spans="1:11" ht="15.75" customHeight="1">
      <c r="A71" s="18">
        <v>68</v>
      </c>
      <c r="B71" s="8"/>
      <c r="C71" s="19"/>
      <c r="D71" s="19"/>
      <c r="E71" s="19"/>
      <c r="F71" s="19"/>
      <c r="G71" s="8"/>
      <c r="H71" s="18">
        <v>60</v>
      </c>
      <c r="I71" s="8">
        <v>60</v>
      </c>
      <c r="J71" s="18">
        <f t="shared" si="2"/>
        <v>0</v>
      </c>
      <c r="K71" s="21">
        <f t="shared" si="0"/>
        <v>1</v>
      </c>
    </row>
    <row r="72" spans="1:11" ht="15.75" customHeight="1">
      <c r="A72" s="18">
        <v>69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2"/>
        <v>0</v>
      </c>
      <c r="K72" s="21">
        <f t="shared" si="0"/>
        <v>1</v>
      </c>
    </row>
    <row r="73" spans="1:11" ht="15.75" customHeight="1">
      <c r="A73" s="18">
        <v>70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2"/>
        <v>0</v>
      </c>
      <c r="K73" s="21">
        <f t="shared" si="0"/>
        <v>1</v>
      </c>
    </row>
    <row r="74" spans="1:11" ht="15.75" customHeight="1">
      <c r="A74" s="18">
        <v>71</v>
      </c>
      <c r="B74" s="8"/>
      <c r="C74" s="19"/>
      <c r="D74" s="19"/>
      <c r="E74" s="19"/>
      <c r="F74" s="20"/>
      <c r="G74" s="8"/>
      <c r="H74" s="18">
        <v>60</v>
      </c>
      <c r="I74" s="8">
        <v>60</v>
      </c>
      <c r="J74" s="18">
        <f t="shared" si="2"/>
        <v>0</v>
      </c>
      <c r="K74" s="21">
        <f t="shared" si="0"/>
        <v>1</v>
      </c>
    </row>
    <row r="75" spans="1:11" ht="15.75" customHeight="1">
      <c r="A75" s="18">
        <v>72</v>
      </c>
      <c r="B75" s="8"/>
      <c r="C75" s="19"/>
      <c r="D75" s="19"/>
      <c r="E75" s="19"/>
      <c r="F75" s="20"/>
      <c r="G75" s="8"/>
      <c r="H75" s="18">
        <v>60</v>
      </c>
      <c r="I75" s="8">
        <v>60</v>
      </c>
      <c r="J75" s="18">
        <f t="shared" si="2"/>
        <v>0</v>
      </c>
      <c r="K75" s="21">
        <f t="shared" si="0"/>
        <v>1</v>
      </c>
    </row>
    <row r="76" spans="1:11" ht="15.75" customHeight="1">
      <c r="A76" s="18">
        <v>73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v>0</v>
      </c>
      <c r="K76" s="21">
        <f t="shared" si="0"/>
        <v>1</v>
      </c>
    </row>
    <row r="77" spans="1:11" ht="15.75" customHeight="1">
      <c r="A77" s="18">
        <v>74</v>
      </c>
      <c r="B77" s="8"/>
      <c r="C77" s="20"/>
      <c r="D77" s="19"/>
      <c r="E77" s="19"/>
      <c r="F77" s="19"/>
      <c r="G77" s="8"/>
      <c r="H77" s="18">
        <v>60</v>
      </c>
      <c r="I77" s="8">
        <v>65</v>
      </c>
      <c r="J77" s="18">
        <v>0</v>
      </c>
      <c r="K77" s="21">
        <f t="shared" si="0"/>
        <v>1</v>
      </c>
    </row>
    <row r="78" spans="1:11" ht="15.75" customHeight="1">
      <c r="A78" s="18">
        <v>75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f>H78-I78</f>
        <v>0</v>
      </c>
      <c r="K78" s="21">
        <f t="shared" si="0"/>
        <v>1</v>
      </c>
    </row>
    <row r="79" spans="1:11" ht="15.75" customHeight="1">
      <c r="A79" s="18">
        <v>76</v>
      </c>
      <c r="B79" s="8"/>
      <c r="C79" s="20"/>
      <c r="D79" s="19"/>
      <c r="E79" s="19"/>
      <c r="F79" s="19"/>
      <c r="G79" s="8"/>
      <c r="H79" s="18">
        <v>30</v>
      </c>
      <c r="I79" s="8">
        <v>30</v>
      </c>
      <c r="J79" s="18">
        <v>0</v>
      </c>
      <c r="K79" s="21">
        <f t="shared" si="0"/>
        <v>1</v>
      </c>
    </row>
    <row r="80" spans="1:11" ht="15.75" customHeight="1">
      <c r="A80" s="18">
        <v>77</v>
      </c>
      <c r="B80" s="8"/>
      <c r="C80" s="20"/>
      <c r="D80" s="19"/>
      <c r="E80" s="19"/>
      <c r="F80" s="19"/>
      <c r="G80" s="8"/>
      <c r="H80" s="18">
        <v>30</v>
      </c>
      <c r="I80" s="8">
        <v>30</v>
      </c>
      <c r="J80" s="18">
        <v>0</v>
      </c>
      <c r="K80" s="21">
        <f t="shared" si="0"/>
        <v>1</v>
      </c>
    </row>
    <row r="81" spans="1:11" ht="15.75" customHeight="1">
      <c r="A81" s="18">
        <v>78</v>
      </c>
      <c r="B81" s="8"/>
      <c r="C81" s="20"/>
      <c r="D81" s="19"/>
      <c r="E81" s="19"/>
      <c r="F81" s="19"/>
      <c r="G81" s="8"/>
      <c r="H81" s="18">
        <v>15</v>
      </c>
      <c r="I81" s="8">
        <v>15</v>
      </c>
      <c r="J81" s="18">
        <v>0</v>
      </c>
      <c r="K81" s="21">
        <f t="shared" si="0"/>
        <v>1</v>
      </c>
    </row>
    <row r="82" spans="1:11" ht="15.75" customHeight="1">
      <c r="A82" s="18">
        <v>79</v>
      </c>
      <c r="B82" s="8"/>
      <c r="C82" s="20"/>
      <c r="D82" s="19"/>
      <c r="E82" s="19"/>
      <c r="F82" s="19"/>
      <c r="G82" s="8"/>
      <c r="H82" s="18">
        <v>60</v>
      </c>
      <c r="I82" s="8">
        <v>60</v>
      </c>
      <c r="J82" s="18">
        <v>0</v>
      </c>
      <c r="K82" s="21">
        <f t="shared" si="0"/>
        <v>1</v>
      </c>
    </row>
    <row r="83" spans="1:11" ht="15.75" customHeight="1">
      <c r="A83" s="18">
        <v>80</v>
      </c>
      <c r="B83" s="8"/>
      <c r="C83" s="20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81</v>
      </c>
      <c r="B84" s="8"/>
      <c r="C84" s="20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>
      <c r="A85" s="18">
        <v>82</v>
      </c>
      <c r="B85" s="8"/>
      <c r="C85" s="19"/>
      <c r="D85" s="19"/>
      <c r="E85" s="19"/>
      <c r="F85" s="19"/>
      <c r="G85" s="8"/>
      <c r="H85" s="18">
        <v>30</v>
      </c>
      <c r="I85" s="8">
        <v>30</v>
      </c>
      <c r="J85" s="18">
        <v>0</v>
      </c>
      <c r="K85" s="21">
        <f t="shared" si="0"/>
        <v>1</v>
      </c>
    </row>
    <row r="86" spans="1:11" ht="15.75" customHeight="1">
      <c r="A86" s="18">
        <v>83</v>
      </c>
      <c r="B86" s="8"/>
      <c r="C86" s="19"/>
      <c r="D86" s="19"/>
      <c r="E86" s="19"/>
      <c r="F86" s="19"/>
      <c r="G86" s="8"/>
      <c r="H86" s="18">
        <v>30</v>
      </c>
      <c r="I86" s="8">
        <v>30</v>
      </c>
      <c r="J86" s="18">
        <v>0</v>
      </c>
      <c r="K86" s="21">
        <f t="shared" si="0"/>
        <v>1</v>
      </c>
    </row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17" sqref="D17"/>
    </sheetView>
  </sheetViews>
  <sheetFormatPr baseColWidth="10" defaultColWidth="12.59765625" defaultRowHeight="15" customHeight="1"/>
  <cols>
    <col min="1" max="1" width="12.59765625" customWidth="1"/>
    <col min="2" max="2" width="19" customWidth="1"/>
    <col min="3" max="3" width="20.3984375" customWidth="1"/>
    <col min="4" max="4" width="19.3984375" customWidth="1"/>
    <col min="5" max="6" width="12.597656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30">
        <v>300</v>
      </c>
      <c r="C3" s="31">
        <v>150</v>
      </c>
      <c r="D3" s="32">
        <v>150</v>
      </c>
    </row>
    <row r="4" spans="1:4" ht="15.75" customHeight="1">
      <c r="A4" s="28" t="s">
        <v>73</v>
      </c>
      <c r="B4" s="33">
        <v>300</v>
      </c>
      <c r="C4" s="34">
        <v>150</v>
      </c>
      <c r="D4" s="35">
        <v>150</v>
      </c>
    </row>
    <row r="5" spans="1:4" ht="15.75" customHeight="1"/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0.976303317535545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59765625" defaultRowHeight="15" customHeight="1"/>
  <cols>
    <col min="1" max="1" width="15.73046875" customWidth="1"/>
    <col min="2" max="2" width="17.86328125" customWidth="1"/>
    <col min="3" max="3" width="17" customWidth="1"/>
    <col min="4" max="4" width="18.265625" customWidth="1"/>
    <col min="5" max="5" width="13.73046875" customWidth="1"/>
    <col min="6" max="6" width="12.597656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3160</v>
      </c>
      <c r="B2" s="10">
        <f>SUM('liste des taches'!I:I)</f>
        <v>3090</v>
      </c>
      <c r="C2" s="10">
        <f>SUM('liste des taches'!J:J)</f>
        <v>75</v>
      </c>
      <c r="D2" s="11">
        <f>(B2/(B2+C2))</f>
        <v>0.976303317535545</v>
      </c>
      <c r="E2" s="11">
        <f>((B2+C2)-A2)/A2</f>
        <v>1.5822784810126582E-3</v>
      </c>
    </row>
    <row r="3" spans="1:5" ht="15.75" customHeight="1">
      <c r="A3" s="12"/>
      <c r="B3" s="12"/>
      <c r="C3" s="13">
        <f>C2/60</f>
        <v>1.25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baseColWidth="10" defaultColWidth="12.59765625" defaultRowHeight="15" customHeight="1"/>
  <cols>
    <col min="1" max="7" width="12.597656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Joary Zava</cp:lastModifiedBy>
  <dcterms:created xsi:type="dcterms:W3CDTF">2026-02-10T08:54:00Z</dcterms:created>
  <dcterms:modified xsi:type="dcterms:W3CDTF">2026-03-30T05:47:01Z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