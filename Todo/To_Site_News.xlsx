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ATIORA\Desktop\S6\MrRojo\TP\SEO\SiteActualite\Todo\"/>
    </mc:Choice>
  </mc:AlternateContent>
  <xr:revisionPtr revIDLastSave="0" documentId="13_ncr:1_{7E80E7B1-C9A5-4A40-8CDE-C1B8531E306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groupe" sheetId="1" r:id="rId1"/>
    <sheet name="liste des taches" sheetId="2" r:id="rId2"/>
    <sheet name="Recap" sheetId="3" r:id="rId3"/>
    <sheet name="avancement" sheetId="4" r:id="rId4"/>
    <sheet name="detail_avancement" sheetId="5" r:id="rId5"/>
  </sheets>
  <calcPr calcId="191029"/>
  <pivotCaches>
    <pivotCache cacheId="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A2" i="4"/>
  <c r="K84" i="2"/>
  <c r="K83" i="2"/>
  <c r="K82" i="2"/>
  <c r="K81" i="2"/>
  <c r="K80" i="2"/>
  <c r="K79" i="2"/>
  <c r="K78" i="2"/>
  <c r="K77" i="2"/>
  <c r="K76" i="2"/>
  <c r="J76" i="2"/>
  <c r="K75" i="2"/>
  <c r="K74" i="2"/>
  <c r="K73" i="2"/>
  <c r="J73" i="2"/>
  <c r="K72" i="2"/>
  <c r="J72" i="2"/>
  <c r="K71" i="2"/>
  <c r="J71" i="2"/>
  <c r="K70" i="2"/>
  <c r="J70" i="2"/>
  <c r="K69" i="2"/>
  <c r="J69" i="2"/>
  <c r="K68" i="2"/>
  <c r="J68" i="2"/>
  <c r="K67" i="2"/>
  <c r="J67" i="2"/>
  <c r="K66" i="2"/>
  <c r="J66" i="2"/>
  <c r="K65" i="2"/>
  <c r="J65" i="2"/>
  <c r="K64" i="2"/>
  <c r="J64" i="2"/>
  <c r="K63" i="2"/>
  <c r="J63" i="2"/>
  <c r="K62" i="2"/>
  <c r="J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J19" i="2"/>
  <c r="K19" i="2" s="1"/>
  <c r="J18" i="2"/>
  <c r="K18" i="2" s="1"/>
  <c r="J17" i="2"/>
  <c r="K17" i="2" s="1"/>
  <c r="J16" i="2"/>
  <c r="K16" i="2" s="1"/>
  <c r="K15" i="2"/>
  <c r="J15" i="2"/>
  <c r="J14" i="2"/>
  <c r="K14" i="2" s="1"/>
  <c r="K13" i="2"/>
  <c r="J13" i="2"/>
  <c r="J12" i="2"/>
  <c r="K12" i="2" s="1"/>
  <c r="J11" i="2"/>
  <c r="K11" i="2" s="1"/>
  <c r="J10" i="2"/>
  <c r="K10" i="2" s="1"/>
  <c r="J9" i="2"/>
  <c r="K9" i="2" s="1"/>
  <c r="J8" i="2"/>
  <c r="K8" i="2" s="1"/>
  <c r="J7" i="2"/>
  <c r="K7" i="2" s="1"/>
  <c r="J6" i="2"/>
  <c r="K6" i="2" s="1"/>
  <c r="K5" i="2"/>
  <c r="J5" i="2"/>
  <c r="J4" i="2"/>
  <c r="K3" i="2"/>
  <c r="J2" i="2"/>
  <c r="K2" i="2" s="1"/>
  <c r="C2" i="4" l="1"/>
  <c r="C3" i="4" s="1"/>
  <c r="K4" i="2"/>
  <c r="D2" i="4" l="1"/>
  <c r="B12" i="3" s="1"/>
  <c r="E2" i="4"/>
</calcChain>
</file>

<file path=xl/sharedStrings.xml><?xml version="1.0" encoding="utf-8"?>
<sst xmlns="http://schemas.openxmlformats.org/spreadsheetml/2006/main" count="134" uniqueCount="75">
  <si>
    <t>ETU003252</t>
  </si>
  <si>
    <t>ANDRIANASOLO Diarintsoa Natiora</t>
  </si>
  <si>
    <t>ETU003777</t>
  </si>
  <si>
    <t>ANJARANANTENAINA Kantonjoary Zava Fifaliana</t>
  </si>
  <si>
    <t>Ligne</t>
  </si>
  <si>
    <t>Catégorie</t>
  </si>
  <si>
    <t>Module</t>
  </si>
  <si>
    <t>Taches</t>
  </si>
  <si>
    <t>Page</t>
  </si>
  <si>
    <t>Type</t>
  </si>
  <si>
    <t>Qui</t>
  </si>
  <si>
    <t>Estimation</t>
  </si>
  <si>
    <t>Temps passé</t>
  </si>
  <si>
    <t>Reste à faire</t>
  </si>
  <si>
    <t>Avancement</t>
  </si>
  <si>
    <t>Docker</t>
  </si>
  <si>
    <t>setup</t>
  </si>
  <si>
    <t>SUM of Estimation</t>
  </si>
  <si>
    <t>SUM of Temps passé</t>
  </si>
  <si>
    <t>SUM of Reste à faire</t>
  </si>
  <si>
    <t>estimation total</t>
  </si>
  <si>
    <t>temps passé total</t>
  </si>
  <si>
    <t>reste à faire total</t>
  </si>
  <si>
    <t>avancement</t>
  </si>
  <si>
    <t>dépassement</t>
  </si>
  <si>
    <t>heure</t>
  </si>
  <si>
    <t>LigneWQ</t>
  </si>
  <si>
    <t>Total</t>
  </si>
  <si>
    <t/>
  </si>
  <si>
    <t>Grand Total</t>
  </si>
  <si>
    <t>Conception</t>
  </si>
  <si>
    <t>Base de donnee</t>
  </si>
  <si>
    <t>faire la conception du projet</t>
  </si>
  <si>
    <t>BDD</t>
  </si>
  <si>
    <t>Core</t>
  </si>
  <si>
    <t>orchestration</t>
  </si>
  <si>
    <t>docker-file/docker-yml</t>
  </si>
  <si>
    <t>Structuration</t>
  </si>
  <si>
    <t>Authentification</t>
  </si>
  <si>
    <t>metier</t>
  </si>
  <si>
    <t>Bakc-office</t>
  </si>
  <si>
    <t>Back-office</t>
  </si>
  <si>
    <t>SignIn.php</t>
  </si>
  <si>
    <t>Login.php</t>
  </si>
  <si>
    <t>Integration</t>
  </si>
  <si>
    <t>Mettre en place le système d'authentifiaction</t>
  </si>
  <si>
    <t>mettre en place la strucutre du projet</t>
  </si>
  <si>
    <t>mettre en place l'environement Docker</t>
  </si>
  <si>
    <t>Inscription dans le site news</t>
  </si>
  <si>
    <t>connexion dans le site news</t>
  </si>
  <si>
    <t>Documentation</t>
  </si>
  <si>
    <t>TinyDocs</t>
  </si>
  <si>
    <t>Comprendre le concept de TinyDocs</t>
  </si>
  <si>
    <t>Orientation</t>
  </si>
  <si>
    <t>verifier que la base de donnee  est bien adapter</t>
  </si>
  <si>
    <t>CRUD Article</t>
  </si>
  <si>
    <t>Créer une formulaire pour Ajouter un article (les champs necessaires)</t>
  </si>
  <si>
    <t>create_article.php</t>
  </si>
  <si>
    <t>Integration TinyDocs</t>
  </si>
  <si>
    <t>Gerer l'envoi du formulaire</t>
  </si>
  <si>
    <t>affichage</t>
  </si>
  <si>
    <t>dependance</t>
  </si>
  <si>
    <t>Insertion dans la base</t>
  </si>
  <si>
    <t>generation du slug (amin'ilay SEO)</t>
  </si>
  <si>
    <t>persistance</t>
  </si>
  <si>
    <t>Front-office</t>
  </si>
  <si>
    <t>Récupérer et afficher l'article</t>
  </si>
  <si>
    <t>article.php</t>
  </si>
  <si>
    <t>Mettre en place URL SEO(ao amin'ilay htaccess)</t>
  </si>
  <si>
    <t>mettre en fin le upload image</t>
  </si>
  <si>
    <t>upload.php</t>
  </si>
  <si>
    <t>Configuration Tinydocs et type Mimme</t>
  </si>
  <si>
    <t>Back-office/Front-office</t>
  </si>
  <si>
    <t>Effectuer un test complet :créer article,checker html dans la base,afficher article,tester les images,tester URL seo</t>
  </si>
  <si>
    <t>Obtenir l'API key,Ajouter le script CDN et initialiser l'editeur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</si>
</sst>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"/>
    <numFmt numFmtId="165" formatCode="0.0%"/>
  </numFmts>
  <fonts count="11">
    <font>
      <sz val="10"/>
      <color rgb="FF000000"/>
      <name val="Arial"/>
      <charset val="134"/>
      <scheme val="minor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sz val="12"/>
      <color theme="1"/>
      <name val="Aptos Narrow"/>
      <charset val="134"/>
    </font>
    <font>
      <sz val="10"/>
      <color theme="1"/>
      <name val="Arial"/>
      <charset val="134"/>
    </font>
    <font>
      <b/>
      <sz val="12"/>
      <color theme="1"/>
      <name val="Aptos Narrow"/>
      <charset val="134"/>
    </font>
    <font>
      <b/>
      <sz val="10"/>
      <color theme="1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Liberation Serif"/>
      <charset val="134"/>
    </font>
    <font>
      <sz val="8"/>
      <color theme="1"/>
      <name val="Arial"/>
      <charset val="134"/>
    </font>
    <font>
      <sz val="8"/>
      <color theme="1"/>
      <name val="Liberation Serif"/>
      <charset val="134"/>
    </font>
  </fonts>
  <fills count="5">
    <fill>
      <patternFill patternType="none"/>
    </fill>
    <fill>
      <patternFill patternType="gray125"/>
    </fill>
    <fill>
      <patternFill patternType="solid">
        <fgColor rgb="FF95DCF7"/>
        <bgColor rgb="FF95DCF7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164" fontId="1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2" borderId="0" xfId="0" applyFont="1" applyFill="1"/>
    <xf numFmtId="0" fontId="3" fillId="0" borderId="0" xfId="0" applyFont="1" applyAlignment="1">
      <alignment horizontal="right"/>
    </xf>
    <xf numFmtId="9" fontId="3" fillId="0" borderId="0" xfId="0" applyNumberFormat="1" applyFont="1" applyAlignment="1">
      <alignment horizontal="right"/>
    </xf>
    <xf numFmtId="0" fontId="3" fillId="0" borderId="0" xfId="0" applyFont="1"/>
    <xf numFmtId="1" fontId="3" fillId="0" borderId="0" xfId="0" applyNumberFormat="1" applyFont="1" applyAlignment="1">
      <alignment horizontal="right"/>
    </xf>
    <xf numFmtId="0" fontId="6" fillId="3" borderId="0" xfId="0" applyFont="1" applyFill="1"/>
    <xf numFmtId="10" fontId="6" fillId="3" borderId="0" xfId="0" applyNumberFormat="1" applyFont="1" applyFill="1"/>
    <xf numFmtId="0" fontId="7" fillId="4" borderId="1" xfId="0" applyFont="1" applyFill="1" applyBorder="1"/>
    <xf numFmtId="0" fontId="8" fillId="4" borderId="1" xfId="0" applyFont="1" applyFill="1" applyBorder="1"/>
    <xf numFmtId="0" fontId="4" fillId="0" borderId="1" xfId="0" applyFont="1" applyBorder="1" applyAlignment="1">
      <alignment horizontal="right"/>
    </xf>
    <xf numFmtId="0" fontId="9" fillId="0" borderId="1" xfId="0" applyFont="1" applyBorder="1"/>
    <xf numFmtId="0" fontId="10" fillId="0" borderId="1" xfId="0" applyFont="1" applyBorder="1"/>
    <xf numFmtId="165" fontId="6" fillId="0" borderId="1" xfId="0" applyNumberFormat="1" applyFont="1" applyBorder="1" applyAlignment="1">
      <alignment horizontal="right"/>
    </xf>
    <xf numFmtId="0" fontId="0" fillId="0" borderId="2" xfId="0" applyBorder="1"/>
    <xf numFmtId="0" fontId="0" fillId="0" borderId="2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2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10" fillId="0" borderId="10" xfId="0" applyFont="1" applyFill="1" applyBorder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www.wps.cn/officeDocument/2023/relationships/customStorage" Target="customStorage/customStorage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TIORA" refreshedDate="46110.809336226848" refreshedVersion="8" recordCount="83" xr:uid="{00000000-000A-0000-FFFF-FFFF00000000}">
  <cacheSource type="worksheet">
    <worksheetSource ref="B1:K84" sheet="liste des taches"/>
  </cacheSource>
  <cacheFields count="10">
    <cacheField name="Catégorie" numFmtId="0">
      <sharedItems containsBlank="1"/>
    </cacheField>
    <cacheField name="Module" numFmtId="0">
      <sharedItems containsBlank="1"/>
    </cacheField>
    <cacheField name="Taches" numFmtId="0">
      <sharedItems containsBlank="1"/>
    </cacheField>
    <cacheField name="Page" numFmtId="0">
      <sharedItems containsBlank="1"/>
    </cacheField>
    <cacheField name="Type" numFmtId="0">
      <sharedItems containsBlank="1"/>
    </cacheField>
    <cacheField name="Qui" numFmtId="0">
      <sharedItems containsBlank="1" count="5">
        <s v="ETU003252"/>
        <m/>
        <s v="ETU003777" u="1"/>
        <s v="ETU003329" u="1"/>
        <s v="ETU003289" u="1"/>
      </sharedItems>
    </cacheField>
    <cacheField name="Estimation" numFmtId="0">
      <sharedItems containsSemiMixedTypes="0" containsString="0" containsNumber="1" containsInteger="1" minValue="15" maxValue="90"/>
    </cacheField>
    <cacheField name="Temps passé" numFmtId="0">
      <sharedItems containsSemiMixedTypes="0" containsString="0" containsNumber="1" containsInteger="1" minValue="0" maxValue="90"/>
    </cacheField>
    <cacheField name="Reste à faire" numFmtId="0">
      <sharedItems containsSemiMixedTypes="0" containsString="0" containsNumber="1" containsInteger="1" minValue="0" maxValue="20"/>
    </cacheField>
    <cacheField name="Avancement" numFmtId="165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s v="Conception"/>
    <s v="Base de donnee"/>
    <s v="faire la conception du projet"/>
    <m/>
    <s v="BDD"/>
    <x v="0"/>
    <n v="40"/>
    <n v="40"/>
    <n v="0"/>
    <n v="1"/>
  </r>
  <r>
    <s v="Structuration"/>
    <s v="Core"/>
    <s v="mettre en place le strucutre du projet"/>
    <m/>
    <s v="setup"/>
    <x v="0"/>
    <n v="30"/>
    <n v="30"/>
    <n v="0"/>
    <n v="1"/>
  </r>
  <r>
    <s v="orchestration"/>
    <s v="Docker"/>
    <s v="mettre l'environement Docker"/>
    <s v="docker-file/docker-yml"/>
    <s v="setup"/>
    <x v="0"/>
    <n v="25"/>
    <n v="25"/>
    <n v="0"/>
    <n v="1"/>
  </r>
  <r>
    <s v="Authentification"/>
    <s v="Back-office"/>
    <s v="Inscription dans le site new"/>
    <s v="SignIn.php"/>
    <s v="metier"/>
    <x v="0"/>
    <n v="20"/>
    <n v="0"/>
    <n v="20"/>
    <n v="0"/>
  </r>
  <r>
    <s v="Authentification"/>
    <s v="Bakc-office"/>
    <s v="connexion dans le site new"/>
    <s v="Login.php"/>
    <s v="metier"/>
    <x v="0"/>
    <n v="15"/>
    <n v="0"/>
    <n v="15"/>
    <n v="0"/>
  </r>
  <r>
    <s v="Authentification"/>
    <s v="Integration"/>
    <s v="Mettre en place le système d'authentifiaction"/>
    <s v="Login.php"/>
    <s v="Integration"/>
    <x v="0"/>
    <n v="20"/>
    <n v="0"/>
    <n v="20"/>
    <n v="0"/>
  </r>
  <r>
    <m/>
    <m/>
    <m/>
    <m/>
    <m/>
    <x v="1"/>
    <n v="30"/>
    <n v="30"/>
    <n v="0"/>
    <n v="1"/>
  </r>
  <r>
    <m/>
    <m/>
    <m/>
    <m/>
    <m/>
    <x v="1"/>
    <n v="30"/>
    <n v="30"/>
    <n v="0"/>
    <n v="1"/>
  </r>
  <r>
    <m/>
    <m/>
    <m/>
    <m/>
    <m/>
    <x v="1"/>
    <n v="30"/>
    <n v="30"/>
    <n v="0"/>
    <n v="1"/>
  </r>
  <r>
    <m/>
    <m/>
    <m/>
    <m/>
    <m/>
    <x v="1"/>
    <n v="30"/>
    <n v="30"/>
    <n v="0"/>
    <n v="1"/>
  </r>
  <r>
    <m/>
    <m/>
    <m/>
    <m/>
    <m/>
    <x v="1"/>
    <n v="60"/>
    <n v="60"/>
    <n v="0"/>
    <n v="1"/>
  </r>
  <r>
    <m/>
    <m/>
    <m/>
    <m/>
    <m/>
    <x v="1"/>
    <n v="30"/>
    <n v="30"/>
    <n v="0"/>
    <n v="1"/>
  </r>
  <r>
    <m/>
    <m/>
    <m/>
    <m/>
    <m/>
    <x v="1"/>
    <n v="90"/>
    <n v="90"/>
    <n v="0"/>
    <n v="1"/>
  </r>
  <r>
    <m/>
    <m/>
    <m/>
    <m/>
    <m/>
    <x v="1"/>
    <n v="60"/>
    <n v="60"/>
    <n v="0"/>
    <n v="1"/>
  </r>
  <r>
    <m/>
    <m/>
    <m/>
    <m/>
    <m/>
    <x v="1"/>
    <n v="60"/>
    <n v="60"/>
    <n v="0"/>
    <n v="1"/>
  </r>
  <r>
    <m/>
    <m/>
    <m/>
    <m/>
    <m/>
    <x v="1"/>
    <n v="30"/>
    <n v="30"/>
    <n v="0"/>
    <n v="1"/>
  </r>
  <r>
    <m/>
    <m/>
    <m/>
    <m/>
    <m/>
    <x v="1"/>
    <n v="60"/>
    <n v="60"/>
    <n v="0"/>
    <n v="1"/>
  </r>
  <r>
    <m/>
    <m/>
    <m/>
    <m/>
    <m/>
    <x v="1"/>
    <n v="30"/>
    <n v="30"/>
    <n v="0"/>
    <n v="1"/>
  </r>
  <r>
    <m/>
    <m/>
    <m/>
    <m/>
    <m/>
    <x v="1"/>
    <n v="30"/>
    <n v="30"/>
    <n v="0"/>
    <n v="1"/>
  </r>
  <r>
    <m/>
    <m/>
    <m/>
    <m/>
    <m/>
    <x v="1"/>
    <n v="30"/>
    <n v="30"/>
    <n v="0"/>
    <n v="1"/>
  </r>
  <r>
    <m/>
    <m/>
    <m/>
    <m/>
    <m/>
    <x v="1"/>
    <n v="30"/>
    <n v="30"/>
    <n v="0"/>
    <n v="1"/>
  </r>
  <r>
    <m/>
    <m/>
    <m/>
    <m/>
    <m/>
    <x v="1"/>
    <n v="30"/>
    <n v="30"/>
    <n v="0"/>
    <n v="1"/>
  </r>
  <r>
    <m/>
    <m/>
    <m/>
    <m/>
    <m/>
    <x v="1"/>
    <n v="20"/>
    <n v="20"/>
    <n v="0"/>
    <n v="1"/>
  </r>
  <r>
    <m/>
    <m/>
    <m/>
    <m/>
    <m/>
    <x v="1"/>
    <n v="60"/>
    <n v="60"/>
    <n v="0"/>
    <n v="1"/>
  </r>
  <r>
    <m/>
    <m/>
    <m/>
    <m/>
    <m/>
    <x v="1"/>
    <n v="30"/>
    <n v="30"/>
    <n v="0"/>
    <n v="1"/>
  </r>
  <r>
    <m/>
    <m/>
    <m/>
    <m/>
    <m/>
    <x v="1"/>
    <n v="30"/>
    <n v="30"/>
    <n v="0"/>
    <n v="1"/>
  </r>
  <r>
    <m/>
    <m/>
    <m/>
    <m/>
    <m/>
    <x v="1"/>
    <n v="35"/>
    <n v="35"/>
    <n v="0"/>
    <n v="1"/>
  </r>
  <r>
    <m/>
    <m/>
    <m/>
    <m/>
    <m/>
    <x v="1"/>
    <n v="60"/>
    <n v="60"/>
    <n v="0"/>
    <n v="1"/>
  </r>
  <r>
    <m/>
    <m/>
    <m/>
    <m/>
    <m/>
    <x v="1"/>
    <n v="90"/>
    <n v="90"/>
    <n v="0"/>
    <n v="1"/>
  </r>
  <r>
    <m/>
    <m/>
    <m/>
    <m/>
    <m/>
    <x v="1"/>
    <n v="50"/>
    <n v="50"/>
    <n v="0"/>
    <n v="1"/>
  </r>
  <r>
    <m/>
    <m/>
    <m/>
    <m/>
    <m/>
    <x v="1"/>
    <n v="90"/>
    <n v="90"/>
    <n v="0"/>
    <n v="1"/>
  </r>
  <r>
    <m/>
    <m/>
    <m/>
    <m/>
    <m/>
    <x v="1"/>
    <n v="30"/>
    <n v="30"/>
    <n v="0"/>
    <n v="1"/>
  </r>
  <r>
    <m/>
    <m/>
    <m/>
    <m/>
    <m/>
    <x v="1"/>
    <n v="60"/>
    <n v="60"/>
    <n v="0"/>
    <n v="1"/>
  </r>
  <r>
    <m/>
    <m/>
    <m/>
    <m/>
    <m/>
    <x v="1"/>
    <n v="60"/>
    <n v="60"/>
    <n v="0"/>
    <n v="1"/>
  </r>
  <r>
    <m/>
    <m/>
    <m/>
    <m/>
    <m/>
    <x v="1"/>
    <n v="60"/>
    <n v="60"/>
    <n v="0"/>
    <n v="1"/>
  </r>
  <r>
    <m/>
    <m/>
    <m/>
    <m/>
    <m/>
    <x v="1"/>
    <n v="60"/>
    <n v="60"/>
    <n v="0"/>
    <n v="1"/>
  </r>
  <r>
    <m/>
    <m/>
    <m/>
    <m/>
    <m/>
    <x v="1"/>
    <n v="60"/>
    <n v="60"/>
    <n v="0"/>
    <n v="1"/>
  </r>
  <r>
    <m/>
    <m/>
    <m/>
    <m/>
    <m/>
    <x v="1"/>
    <n v="60"/>
    <n v="60"/>
    <n v="0"/>
    <n v="1"/>
  </r>
  <r>
    <m/>
    <m/>
    <m/>
    <m/>
    <m/>
    <x v="1"/>
    <n v="30"/>
    <n v="30"/>
    <n v="0"/>
    <n v="1"/>
  </r>
  <r>
    <m/>
    <m/>
    <m/>
    <m/>
    <m/>
    <x v="1"/>
    <n v="30"/>
    <n v="30"/>
    <n v="0"/>
    <n v="1"/>
  </r>
  <r>
    <m/>
    <m/>
    <m/>
    <m/>
    <m/>
    <x v="1"/>
    <n v="60"/>
    <n v="60"/>
    <n v="0"/>
    <n v="1"/>
  </r>
  <r>
    <m/>
    <m/>
    <m/>
    <m/>
    <m/>
    <x v="1"/>
    <n v="60"/>
    <n v="60"/>
    <n v="0"/>
    <n v="1"/>
  </r>
  <r>
    <m/>
    <m/>
    <m/>
    <m/>
    <m/>
    <x v="1"/>
    <n v="60"/>
    <n v="60"/>
    <n v="0"/>
    <n v="1"/>
  </r>
  <r>
    <m/>
    <m/>
    <m/>
    <m/>
    <m/>
    <x v="1"/>
    <n v="90"/>
    <n v="90"/>
    <n v="0"/>
    <n v="1"/>
  </r>
  <r>
    <m/>
    <m/>
    <m/>
    <m/>
    <m/>
    <x v="1"/>
    <n v="30"/>
    <n v="30"/>
    <n v="0"/>
    <n v="1"/>
  </r>
  <r>
    <m/>
    <m/>
    <m/>
    <m/>
    <m/>
    <x v="1"/>
    <n v="30"/>
    <n v="30"/>
    <n v="0"/>
    <n v="1"/>
  </r>
  <r>
    <m/>
    <m/>
    <m/>
    <m/>
    <m/>
    <x v="1"/>
    <n v="30"/>
    <n v="30"/>
    <n v="0"/>
    <n v="1"/>
  </r>
  <r>
    <m/>
    <m/>
    <m/>
    <m/>
    <m/>
    <x v="1"/>
    <n v="45"/>
    <n v="45"/>
    <n v="0"/>
    <n v="1"/>
  </r>
  <r>
    <m/>
    <m/>
    <m/>
    <m/>
    <m/>
    <x v="1"/>
    <n v="45"/>
    <n v="45"/>
    <n v="0"/>
    <n v="1"/>
  </r>
  <r>
    <m/>
    <m/>
    <m/>
    <m/>
    <m/>
    <x v="1"/>
    <n v="60"/>
    <n v="60"/>
    <n v="0"/>
    <n v="1"/>
  </r>
  <r>
    <m/>
    <m/>
    <m/>
    <m/>
    <m/>
    <x v="1"/>
    <n v="45"/>
    <n v="45"/>
    <n v="0"/>
    <n v="1"/>
  </r>
  <r>
    <m/>
    <m/>
    <m/>
    <m/>
    <m/>
    <x v="1"/>
    <n v="30"/>
    <n v="30"/>
    <n v="0"/>
    <n v="1"/>
  </r>
  <r>
    <m/>
    <m/>
    <m/>
    <m/>
    <m/>
    <x v="1"/>
    <n v="30"/>
    <n v="30"/>
    <n v="0"/>
    <n v="1"/>
  </r>
  <r>
    <m/>
    <m/>
    <m/>
    <m/>
    <m/>
    <x v="1"/>
    <n v="30"/>
    <n v="30"/>
    <n v="0"/>
    <n v="1"/>
  </r>
  <r>
    <m/>
    <m/>
    <m/>
    <m/>
    <m/>
    <x v="1"/>
    <n v="30"/>
    <n v="30"/>
    <n v="0"/>
    <n v="1"/>
  </r>
  <r>
    <m/>
    <m/>
    <m/>
    <m/>
    <m/>
    <x v="1"/>
    <n v="90"/>
    <n v="90"/>
    <n v="0"/>
    <n v="1"/>
  </r>
  <r>
    <m/>
    <m/>
    <m/>
    <m/>
    <m/>
    <x v="1"/>
    <n v="30"/>
    <n v="30"/>
    <n v="0"/>
    <n v="1"/>
  </r>
  <r>
    <m/>
    <m/>
    <m/>
    <m/>
    <m/>
    <x v="1"/>
    <n v="30"/>
    <n v="30"/>
    <n v="0"/>
    <n v="1"/>
  </r>
  <r>
    <m/>
    <m/>
    <m/>
    <m/>
    <m/>
    <x v="1"/>
    <n v="20"/>
    <n v="20"/>
    <n v="0"/>
    <n v="1"/>
  </r>
  <r>
    <m/>
    <m/>
    <m/>
    <m/>
    <m/>
    <x v="1"/>
    <n v="15"/>
    <n v="15"/>
    <n v="0"/>
    <n v="1"/>
  </r>
  <r>
    <m/>
    <m/>
    <m/>
    <m/>
    <m/>
    <x v="1"/>
    <n v="30"/>
    <n v="30"/>
    <n v="0"/>
    <n v="1"/>
  </r>
  <r>
    <m/>
    <m/>
    <m/>
    <m/>
    <m/>
    <x v="1"/>
    <n v="60"/>
    <n v="60"/>
    <n v="0"/>
    <n v="1"/>
  </r>
  <r>
    <m/>
    <m/>
    <m/>
    <m/>
    <m/>
    <x v="1"/>
    <n v="60"/>
    <n v="60"/>
    <n v="0"/>
    <n v="1"/>
  </r>
  <r>
    <m/>
    <m/>
    <m/>
    <m/>
    <m/>
    <x v="1"/>
    <n v="60"/>
    <n v="60"/>
    <n v="0"/>
    <n v="1"/>
  </r>
  <r>
    <m/>
    <m/>
    <m/>
    <m/>
    <m/>
    <x v="1"/>
    <n v="60"/>
    <n v="60"/>
    <n v="0"/>
    <n v="1"/>
  </r>
  <r>
    <m/>
    <m/>
    <m/>
    <m/>
    <m/>
    <x v="1"/>
    <n v="20"/>
    <n v="20"/>
    <n v="0"/>
    <n v="1"/>
  </r>
  <r>
    <m/>
    <m/>
    <m/>
    <m/>
    <m/>
    <x v="1"/>
    <n v="20"/>
    <n v="20"/>
    <n v="0"/>
    <n v="1"/>
  </r>
  <r>
    <m/>
    <m/>
    <m/>
    <m/>
    <m/>
    <x v="1"/>
    <n v="60"/>
    <n v="60"/>
    <n v="0"/>
    <n v="1"/>
  </r>
  <r>
    <m/>
    <m/>
    <m/>
    <m/>
    <m/>
    <x v="1"/>
    <n v="60"/>
    <n v="60"/>
    <n v="0"/>
    <n v="1"/>
  </r>
  <r>
    <m/>
    <m/>
    <m/>
    <m/>
    <m/>
    <x v="1"/>
    <n v="60"/>
    <n v="60"/>
    <n v="0"/>
    <n v="1"/>
  </r>
  <r>
    <m/>
    <m/>
    <m/>
    <m/>
    <m/>
    <x v="1"/>
    <n v="60"/>
    <n v="60"/>
    <n v="0"/>
    <n v="1"/>
  </r>
  <r>
    <m/>
    <m/>
    <m/>
    <m/>
    <m/>
    <x v="1"/>
    <n v="60"/>
    <n v="60"/>
    <n v="0"/>
    <n v="1"/>
  </r>
  <r>
    <m/>
    <m/>
    <m/>
    <m/>
    <m/>
    <x v="1"/>
    <n v="30"/>
    <n v="30"/>
    <n v="0"/>
    <n v="1"/>
  </r>
  <r>
    <m/>
    <m/>
    <m/>
    <m/>
    <m/>
    <x v="1"/>
    <n v="60"/>
    <n v="65"/>
    <n v="0"/>
    <n v="1"/>
  </r>
  <r>
    <m/>
    <m/>
    <m/>
    <m/>
    <m/>
    <x v="1"/>
    <n v="30"/>
    <n v="30"/>
    <n v="0"/>
    <n v="1"/>
  </r>
  <r>
    <m/>
    <m/>
    <m/>
    <m/>
    <m/>
    <x v="1"/>
    <n v="30"/>
    <n v="30"/>
    <n v="0"/>
    <n v="1"/>
  </r>
  <r>
    <m/>
    <m/>
    <m/>
    <m/>
    <m/>
    <x v="1"/>
    <n v="30"/>
    <n v="30"/>
    <n v="0"/>
    <n v="1"/>
  </r>
  <r>
    <m/>
    <m/>
    <m/>
    <m/>
    <m/>
    <x v="1"/>
    <n v="15"/>
    <n v="15"/>
    <n v="0"/>
    <n v="1"/>
  </r>
  <r>
    <m/>
    <m/>
    <m/>
    <m/>
    <m/>
    <x v="1"/>
    <n v="60"/>
    <n v="60"/>
    <n v="0"/>
    <n v="1"/>
  </r>
  <r>
    <m/>
    <m/>
    <m/>
    <m/>
    <m/>
    <x v="1"/>
    <n v="30"/>
    <n v="30"/>
    <n v="0"/>
    <n v="1"/>
  </r>
  <r>
    <m/>
    <m/>
    <m/>
    <m/>
    <m/>
    <x v="1"/>
    <n v="30"/>
    <n v="30"/>
    <n v="0"/>
    <n v="1"/>
  </r>
  <r>
    <m/>
    <m/>
    <m/>
    <m/>
    <m/>
    <x v="1"/>
    <n v="30"/>
    <n v="30"/>
    <n v="0"/>
    <n v="1"/>
  </r>
  <r>
    <m/>
    <m/>
    <m/>
    <m/>
    <m/>
    <x v="1"/>
    <n v="30"/>
    <n v="3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Recap" cacheId="4" applyNumberFormats="0" applyBorderFormats="0" applyFontFormats="0" applyPatternFormats="0" applyAlignmentFormats="0" applyWidthHeightFormats="1" dataCaption="" updatedVersion="8" compact="0" compactData="0">
  <location ref="A1:D4" firstHeaderRow="1" firstDataRow="2" firstDataCol="1"/>
  <pivotFields count="10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outline="0" multipleItemSelectionAllowed="1" showAll="0">
      <items count="6">
        <item x="0"/>
        <item h="1" m="1" x="4"/>
        <item h="1" m="1" x="3"/>
        <item m="1" x="2"/>
        <item h="1" x="1"/>
        <item t="default"/>
      </items>
    </pivotField>
    <pivotField dataField="1" compact="0" outline="0" multipleItemSelectionAllowed="1" showAll="0"/>
    <pivotField dataField="1" compact="0" outline="0" multipleItemSelectionAllowed="1" showAll="0"/>
    <pivotField dataField="1" compact="0" outline="0" multipleItemSelectionAllowed="1" showAll="0"/>
    <pivotField compact="0" numFmtId="165" outline="0" multipleItemSelectionAllowed="1" showAll="0"/>
  </pivotFields>
  <rowFields count="1">
    <field x="5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stimation" fld="6" baseField="0" baseItem="0"/>
    <dataField name="SUM of Temps passé" fld="7" baseField="0" baseItem="0"/>
    <dataField name="SUM of Reste à faire" fld="8" baseField="0" baseItem="0"/>
  </dataFields>
  <pivotTableStyleInfo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98"/>
  <sheetViews>
    <sheetView workbookViewId="0">
      <selection activeCell="A3" sqref="A3"/>
    </sheetView>
  </sheetViews>
  <sheetFormatPr defaultColWidth="12.5703125" defaultRowHeight="15" customHeight="1"/>
  <cols>
    <col min="1" max="1" width="12.5703125" customWidth="1"/>
    <col min="2" max="2" width="42.85546875" customWidth="1"/>
    <col min="3" max="6" width="12.5703125" customWidth="1"/>
  </cols>
  <sheetData>
    <row r="1" spans="1:2" ht="15.75" customHeight="1">
      <c r="A1" s="8" t="s">
        <v>0</v>
      </c>
      <c r="B1" s="8" t="s">
        <v>1</v>
      </c>
    </row>
    <row r="2" spans="1:2" ht="15.75" customHeight="1">
      <c r="A2" s="8" t="s">
        <v>2</v>
      </c>
      <c r="B2" s="8" t="s">
        <v>3</v>
      </c>
    </row>
    <row r="3" spans="1:2" ht="15.75" customHeight="1"/>
    <row r="4" spans="1:2" ht="15.75" customHeight="1"/>
    <row r="5" spans="1:2" ht="15.75" customHeight="1"/>
    <row r="6" spans="1:2" ht="15.75" customHeight="1"/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3"/>
  <sheetViews>
    <sheetView tabSelected="1" workbookViewId="0">
      <selection activeCell="D12" sqref="D12"/>
    </sheetView>
  </sheetViews>
  <sheetFormatPr defaultColWidth="12.5703125" defaultRowHeight="15" customHeight="1"/>
  <cols>
    <col min="1" max="1" width="5.85546875" customWidth="1"/>
    <col min="2" max="2" width="19" customWidth="1"/>
    <col min="3" max="3" width="18" customWidth="1"/>
    <col min="4" max="4" width="37.140625" customWidth="1"/>
    <col min="5" max="5" width="16.42578125" customWidth="1"/>
    <col min="6" max="6" width="12.5703125" customWidth="1"/>
  </cols>
  <sheetData>
    <row r="1" spans="1:11" ht="15.75" customHeight="1">
      <c r="A1" s="16" t="s">
        <v>4</v>
      </c>
      <c r="B1" s="16" t="s">
        <v>5</v>
      </c>
      <c r="C1" s="16" t="s">
        <v>6</v>
      </c>
      <c r="D1" s="17" t="s">
        <v>7</v>
      </c>
      <c r="E1" s="16" t="s">
        <v>8</v>
      </c>
      <c r="F1" s="17" t="s">
        <v>9</v>
      </c>
      <c r="G1" s="17" t="s">
        <v>10</v>
      </c>
      <c r="H1" s="17" t="s">
        <v>11</v>
      </c>
      <c r="I1" s="17" t="s">
        <v>12</v>
      </c>
      <c r="J1" s="17" t="s">
        <v>13</v>
      </c>
      <c r="K1" s="17" t="s">
        <v>14</v>
      </c>
    </row>
    <row r="2" spans="1:11" ht="15.75" customHeight="1">
      <c r="A2" s="18">
        <v>1</v>
      </c>
      <c r="B2" s="8" t="s">
        <v>30</v>
      </c>
      <c r="C2" s="19" t="s">
        <v>31</v>
      </c>
      <c r="D2" s="20" t="s">
        <v>32</v>
      </c>
      <c r="E2" s="8"/>
      <c r="F2" s="20" t="s">
        <v>33</v>
      </c>
      <c r="G2" s="8" t="s">
        <v>0</v>
      </c>
      <c r="H2" s="18">
        <v>40</v>
      </c>
      <c r="I2" s="18">
        <v>40</v>
      </c>
      <c r="J2" s="18">
        <f>H2-I2</f>
        <v>0</v>
      </c>
      <c r="K2" s="21">
        <f t="shared" ref="K2:K84" si="0">I2/(I2+J2)</f>
        <v>1</v>
      </c>
    </row>
    <row r="3" spans="1:11" ht="15.75" customHeight="1">
      <c r="A3" s="18">
        <v>2</v>
      </c>
      <c r="B3" s="8" t="s">
        <v>37</v>
      </c>
      <c r="C3" s="19" t="s">
        <v>34</v>
      </c>
      <c r="D3" s="20" t="s">
        <v>46</v>
      </c>
      <c r="E3" s="8"/>
      <c r="F3" s="20" t="s">
        <v>16</v>
      </c>
      <c r="G3" s="8" t="s">
        <v>0</v>
      </c>
      <c r="H3" s="18">
        <v>30</v>
      </c>
      <c r="I3" s="18">
        <v>30</v>
      </c>
      <c r="J3" s="18">
        <v>0</v>
      </c>
      <c r="K3" s="21">
        <f t="shared" si="0"/>
        <v>1</v>
      </c>
    </row>
    <row r="4" spans="1:11" ht="15.75" customHeight="1">
      <c r="A4" s="18">
        <v>3</v>
      </c>
      <c r="B4" s="8" t="s">
        <v>35</v>
      </c>
      <c r="C4" s="20" t="s">
        <v>15</v>
      </c>
      <c r="D4" s="20" t="s">
        <v>47</v>
      </c>
      <c r="E4" s="8" t="s">
        <v>36</v>
      </c>
      <c r="F4" s="20" t="s">
        <v>16</v>
      </c>
      <c r="G4" s="8" t="s">
        <v>0</v>
      </c>
      <c r="H4" s="18">
        <v>25</v>
      </c>
      <c r="I4" s="18">
        <v>25</v>
      </c>
      <c r="J4" s="18">
        <f t="shared" ref="J4:J73" si="1">H4-I4</f>
        <v>0</v>
      </c>
      <c r="K4" s="21">
        <f t="shared" si="0"/>
        <v>1</v>
      </c>
    </row>
    <row r="5" spans="1:11" ht="15.75" customHeight="1">
      <c r="A5" s="18">
        <v>4</v>
      </c>
      <c r="B5" s="8" t="s">
        <v>38</v>
      </c>
      <c r="C5" s="20" t="s">
        <v>41</v>
      </c>
      <c r="D5" s="20" t="s">
        <v>48</v>
      </c>
      <c r="E5" s="8" t="s">
        <v>42</v>
      </c>
      <c r="F5" s="20" t="s">
        <v>39</v>
      </c>
      <c r="G5" s="8" t="s">
        <v>0</v>
      </c>
      <c r="H5" s="18">
        <v>20</v>
      </c>
      <c r="I5" s="18">
        <v>20</v>
      </c>
      <c r="J5" s="18">
        <f t="shared" si="1"/>
        <v>0</v>
      </c>
      <c r="K5" s="21">
        <f t="shared" si="0"/>
        <v>1</v>
      </c>
    </row>
    <row r="6" spans="1:11" ht="15.75" customHeight="1">
      <c r="A6" s="18">
        <v>5</v>
      </c>
      <c r="B6" s="8" t="s">
        <v>38</v>
      </c>
      <c r="C6" s="20" t="s">
        <v>40</v>
      </c>
      <c r="D6" s="20" t="s">
        <v>49</v>
      </c>
      <c r="E6" s="8" t="s">
        <v>43</v>
      </c>
      <c r="F6" s="20" t="s">
        <v>39</v>
      </c>
      <c r="G6" s="8" t="s">
        <v>0</v>
      </c>
      <c r="H6" s="18">
        <v>15</v>
      </c>
      <c r="I6" s="18">
        <v>15</v>
      </c>
      <c r="J6" s="18">
        <f t="shared" si="1"/>
        <v>0</v>
      </c>
      <c r="K6" s="21">
        <f t="shared" si="0"/>
        <v>1</v>
      </c>
    </row>
    <row r="7" spans="1:11" ht="15.75" customHeight="1">
      <c r="A7" s="18">
        <v>6</v>
      </c>
      <c r="B7" s="8" t="s">
        <v>38</v>
      </c>
      <c r="C7" s="20" t="s">
        <v>44</v>
      </c>
      <c r="D7" s="20" t="s">
        <v>45</v>
      </c>
      <c r="E7" s="8" t="s">
        <v>43</v>
      </c>
      <c r="F7" s="20" t="s">
        <v>44</v>
      </c>
      <c r="G7" s="8" t="s">
        <v>0</v>
      </c>
      <c r="H7" s="18">
        <v>20</v>
      </c>
      <c r="I7" s="18">
        <v>20</v>
      </c>
      <c r="J7" s="18">
        <f t="shared" si="1"/>
        <v>0</v>
      </c>
      <c r="K7" s="21">
        <f t="shared" si="0"/>
        <v>1</v>
      </c>
    </row>
    <row r="8" spans="1:11" ht="15.75" customHeight="1">
      <c r="A8" s="18">
        <v>7</v>
      </c>
      <c r="B8" s="8" t="s">
        <v>50</v>
      </c>
      <c r="C8" s="20" t="s">
        <v>51</v>
      </c>
      <c r="D8" s="20" t="s">
        <v>52</v>
      </c>
      <c r="E8" s="19"/>
      <c r="F8" s="20" t="s">
        <v>53</v>
      </c>
      <c r="G8" s="8" t="s">
        <v>0</v>
      </c>
      <c r="H8" s="18">
        <v>5</v>
      </c>
      <c r="I8" s="18">
        <v>0</v>
      </c>
      <c r="J8" s="18">
        <f t="shared" si="1"/>
        <v>5</v>
      </c>
      <c r="K8" s="21">
        <f t="shared" si="0"/>
        <v>0</v>
      </c>
    </row>
    <row r="9" spans="1:11" ht="15.75" customHeight="1">
      <c r="A9" s="18">
        <v>8</v>
      </c>
      <c r="B9" s="8" t="s">
        <v>30</v>
      </c>
      <c r="C9" s="20" t="s">
        <v>31</v>
      </c>
      <c r="D9" s="20" t="s">
        <v>54</v>
      </c>
      <c r="E9" s="19"/>
      <c r="F9" s="20" t="s">
        <v>33</v>
      </c>
      <c r="G9" s="8" t="s">
        <v>0</v>
      </c>
      <c r="H9" s="18">
        <v>5</v>
      </c>
      <c r="I9" s="18">
        <v>0</v>
      </c>
      <c r="J9" s="18">
        <f t="shared" si="1"/>
        <v>5</v>
      </c>
      <c r="K9" s="21">
        <f t="shared" si="0"/>
        <v>0</v>
      </c>
    </row>
    <row r="10" spans="1:11" ht="15.75" customHeight="1">
      <c r="A10" s="18">
        <v>9</v>
      </c>
      <c r="B10" s="8" t="s">
        <v>55</v>
      </c>
      <c r="C10" s="20" t="s">
        <v>41</v>
      </c>
      <c r="D10" s="20" t="s">
        <v>56</v>
      </c>
      <c r="E10" s="19" t="s">
        <v>57</v>
      </c>
      <c r="F10" s="20" t="s">
        <v>60</v>
      </c>
      <c r="G10" s="8" t="s">
        <v>0</v>
      </c>
      <c r="H10" s="18">
        <v>15</v>
      </c>
      <c r="I10" s="18">
        <v>0</v>
      </c>
      <c r="J10" s="18">
        <f t="shared" si="1"/>
        <v>15</v>
      </c>
      <c r="K10" s="21">
        <f t="shared" si="0"/>
        <v>0</v>
      </c>
    </row>
    <row r="11" spans="1:11" ht="15.75" customHeight="1">
      <c r="A11" s="18">
        <v>10</v>
      </c>
      <c r="B11" s="8" t="s">
        <v>58</v>
      </c>
      <c r="C11" s="20" t="s">
        <v>41</v>
      </c>
      <c r="D11" s="20" t="s">
        <v>74</v>
      </c>
      <c r="E11" s="19" t="s">
        <v>57</v>
      </c>
      <c r="F11" s="20" t="s">
        <v>61</v>
      </c>
      <c r="G11" s="8" t="s">
        <v>0</v>
      </c>
      <c r="H11" s="18">
        <v>10</v>
      </c>
      <c r="I11" s="8">
        <v>0</v>
      </c>
      <c r="J11" s="18">
        <f t="shared" si="1"/>
        <v>10</v>
      </c>
      <c r="K11" s="21">
        <f t="shared" si="0"/>
        <v>0</v>
      </c>
    </row>
    <row r="12" spans="1:11" ht="15.75" customHeight="1">
      <c r="A12" s="18">
        <v>11</v>
      </c>
      <c r="B12" s="8" t="s">
        <v>55</v>
      </c>
      <c r="C12" s="20" t="s">
        <v>41</v>
      </c>
      <c r="D12" s="20" t="s">
        <v>59</v>
      </c>
      <c r="E12" s="19" t="s">
        <v>57</v>
      </c>
      <c r="F12" s="20" t="s">
        <v>39</v>
      </c>
      <c r="G12" s="8" t="s">
        <v>0</v>
      </c>
      <c r="H12" s="18">
        <v>15</v>
      </c>
      <c r="I12" s="8">
        <v>0</v>
      </c>
      <c r="J12" s="18">
        <f t="shared" si="1"/>
        <v>15</v>
      </c>
      <c r="K12" s="21">
        <f t="shared" si="0"/>
        <v>0</v>
      </c>
    </row>
    <row r="13" spans="1:11" ht="15.75" customHeight="1">
      <c r="A13" s="18">
        <v>12</v>
      </c>
      <c r="B13" s="8" t="s">
        <v>55</v>
      </c>
      <c r="C13" s="20" t="s">
        <v>41</v>
      </c>
      <c r="D13" s="20" t="s">
        <v>63</v>
      </c>
      <c r="E13" s="19" t="s">
        <v>57</v>
      </c>
      <c r="F13" s="20" t="s">
        <v>39</v>
      </c>
      <c r="G13" s="8" t="s">
        <v>0</v>
      </c>
      <c r="H13" s="18">
        <v>15</v>
      </c>
      <c r="I13" s="8">
        <v>0</v>
      </c>
      <c r="J13" s="18">
        <f t="shared" si="1"/>
        <v>15</v>
      </c>
      <c r="K13" s="21">
        <f t="shared" si="0"/>
        <v>0</v>
      </c>
    </row>
    <row r="14" spans="1:11" ht="15.75" customHeight="1">
      <c r="A14" s="18">
        <v>13</v>
      </c>
      <c r="B14" s="8" t="s">
        <v>55</v>
      </c>
      <c r="C14" s="8" t="s">
        <v>41</v>
      </c>
      <c r="D14" s="35" t="s">
        <v>62</v>
      </c>
      <c r="E14" s="8" t="s">
        <v>57</v>
      </c>
      <c r="F14" s="20" t="s">
        <v>64</v>
      </c>
      <c r="G14" s="8" t="s">
        <v>0</v>
      </c>
      <c r="H14" s="18">
        <v>15</v>
      </c>
      <c r="I14" s="8">
        <v>0</v>
      </c>
      <c r="J14" s="18">
        <f t="shared" si="1"/>
        <v>15</v>
      </c>
      <c r="K14" s="21">
        <f t="shared" si="0"/>
        <v>0</v>
      </c>
    </row>
    <row r="15" spans="1:11" ht="15.75" customHeight="1">
      <c r="A15" s="18">
        <v>14</v>
      </c>
      <c r="B15" s="8" t="s">
        <v>55</v>
      </c>
      <c r="C15" s="20" t="s">
        <v>65</v>
      </c>
      <c r="D15" s="20" t="s">
        <v>66</v>
      </c>
      <c r="E15" s="8" t="s">
        <v>67</v>
      </c>
      <c r="F15" s="20" t="s">
        <v>60</v>
      </c>
      <c r="G15" s="8" t="s">
        <v>0</v>
      </c>
      <c r="H15" s="18">
        <v>20</v>
      </c>
      <c r="I15" s="18">
        <v>0</v>
      </c>
      <c r="J15" s="18">
        <f t="shared" si="1"/>
        <v>20</v>
      </c>
      <c r="K15" s="21">
        <f t="shared" si="0"/>
        <v>0</v>
      </c>
    </row>
    <row r="16" spans="1:11" ht="15.75" customHeight="1">
      <c r="A16" s="18">
        <v>15</v>
      </c>
      <c r="B16" s="8" t="s">
        <v>55</v>
      </c>
      <c r="C16" s="20" t="s">
        <v>65</v>
      </c>
      <c r="D16" s="20" t="s">
        <v>68</v>
      </c>
      <c r="E16" s="8" t="s">
        <v>67</v>
      </c>
      <c r="F16" s="20" t="s">
        <v>44</v>
      </c>
      <c r="G16" s="8" t="s">
        <v>0</v>
      </c>
      <c r="H16" s="18">
        <v>15</v>
      </c>
      <c r="I16" s="18">
        <v>0</v>
      </c>
      <c r="J16" s="18">
        <f t="shared" si="1"/>
        <v>15</v>
      </c>
      <c r="K16" s="21">
        <f t="shared" si="0"/>
        <v>0</v>
      </c>
    </row>
    <row r="17" spans="1:12" ht="15.75" customHeight="1">
      <c r="A17" s="18">
        <v>16</v>
      </c>
      <c r="B17" s="8" t="s">
        <v>55</v>
      </c>
      <c r="C17" s="20" t="s">
        <v>41</v>
      </c>
      <c r="D17" s="20" t="s">
        <v>69</v>
      </c>
      <c r="E17" s="8" t="s">
        <v>70</v>
      </c>
      <c r="F17" s="20" t="s">
        <v>60</v>
      </c>
      <c r="G17" s="8" t="s">
        <v>0</v>
      </c>
      <c r="H17" s="18">
        <v>10</v>
      </c>
      <c r="I17" s="18">
        <v>0</v>
      </c>
      <c r="J17" s="18">
        <f t="shared" si="1"/>
        <v>10</v>
      </c>
      <c r="K17" s="21">
        <f t="shared" si="0"/>
        <v>0</v>
      </c>
    </row>
    <row r="18" spans="1:12" ht="15.75" customHeight="1">
      <c r="A18" s="18">
        <v>17</v>
      </c>
      <c r="B18" s="8" t="s">
        <v>55</v>
      </c>
      <c r="C18" s="20" t="s">
        <v>41</v>
      </c>
      <c r="D18" s="19" t="s">
        <v>71</v>
      </c>
      <c r="E18" s="8" t="s">
        <v>70</v>
      </c>
      <c r="F18" s="20" t="s">
        <v>39</v>
      </c>
      <c r="G18" s="8" t="s">
        <v>0</v>
      </c>
      <c r="H18" s="18">
        <v>20</v>
      </c>
      <c r="I18" s="18">
        <v>0</v>
      </c>
      <c r="J18" s="18">
        <f t="shared" si="1"/>
        <v>20</v>
      </c>
      <c r="K18" s="21">
        <f t="shared" si="0"/>
        <v>0</v>
      </c>
      <c r="L18" s="20"/>
    </row>
    <row r="19" spans="1:12" ht="15.75" customHeight="1">
      <c r="A19" s="18">
        <v>18</v>
      </c>
      <c r="B19" s="8" t="s">
        <v>55</v>
      </c>
      <c r="C19" s="20" t="s">
        <v>72</v>
      </c>
      <c r="D19" s="20" t="s">
        <v>73</v>
      </c>
      <c r="E19" s="19"/>
      <c r="F19" s="20" t="s">
        <v>44</v>
      </c>
      <c r="G19" s="8" t="s">
        <v>0</v>
      </c>
      <c r="H19" s="18">
        <v>5</v>
      </c>
      <c r="I19" s="18">
        <v>0</v>
      </c>
      <c r="J19" s="18">
        <f t="shared" si="1"/>
        <v>5</v>
      </c>
      <c r="K19" s="21">
        <f t="shared" si="0"/>
        <v>0</v>
      </c>
    </row>
    <row r="20" spans="1:12" ht="15.75" customHeight="1">
      <c r="A20" s="18">
        <v>19</v>
      </c>
      <c r="B20" s="8"/>
      <c r="C20" s="20"/>
      <c r="D20" s="20"/>
      <c r="E20" s="19"/>
      <c r="F20" s="20"/>
      <c r="G20" s="8"/>
      <c r="H20" s="18">
        <v>30</v>
      </c>
      <c r="I20" s="18">
        <v>30</v>
      </c>
      <c r="J20" s="18">
        <f t="shared" si="1"/>
        <v>0</v>
      </c>
      <c r="K20" s="21">
        <f t="shared" si="0"/>
        <v>1</v>
      </c>
    </row>
    <row r="21" spans="1:12" ht="15.75" customHeight="1">
      <c r="A21" s="18">
        <v>20</v>
      </c>
      <c r="B21" s="8"/>
      <c r="C21" s="20"/>
      <c r="D21" s="20"/>
      <c r="E21" s="19"/>
      <c r="F21" s="20"/>
      <c r="G21" s="8"/>
      <c r="H21" s="18">
        <v>30</v>
      </c>
      <c r="I21" s="18">
        <v>30</v>
      </c>
      <c r="J21" s="18">
        <f t="shared" si="1"/>
        <v>0</v>
      </c>
      <c r="K21" s="21">
        <f t="shared" si="0"/>
        <v>1</v>
      </c>
    </row>
    <row r="22" spans="1:12" ht="15.75" customHeight="1">
      <c r="A22" s="18">
        <v>21</v>
      </c>
      <c r="B22" s="8"/>
      <c r="C22" s="20"/>
      <c r="D22" s="20"/>
      <c r="E22" s="19"/>
      <c r="F22" s="20"/>
      <c r="G22" s="8"/>
      <c r="H22" s="18">
        <v>30</v>
      </c>
      <c r="I22" s="18">
        <v>30</v>
      </c>
      <c r="J22" s="18">
        <f t="shared" si="1"/>
        <v>0</v>
      </c>
      <c r="K22" s="21">
        <f t="shared" si="0"/>
        <v>1</v>
      </c>
    </row>
    <row r="23" spans="1:12" ht="15.75" customHeight="1">
      <c r="A23" s="18">
        <v>22</v>
      </c>
      <c r="B23" s="8"/>
      <c r="C23" s="20"/>
      <c r="D23" s="20"/>
      <c r="E23" s="19"/>
      <c r="F23" s="20"/>
      <c r="G23" s="8"/>
      <c r="H23" s="18">
        <v>30</v>
      </c>
      <c r="I23" s="18">
        <v>30</v>
      </c>
      <c r="J23" s="18">
        <f t="shared" si="1"/>
        <v>0</v>
      </c>
      <c r="K23" s="21">
        <f t="shared" si="0"/>
        <v>1</v>
      </c>
    </row>
    <row r="24" spans="1:12" ht="15.75" customHeight="1">
      <c r="A24" s="18">
        <v>23</v>
      </c>
      <c r="B24" s="8"/>
      <c r="C24" s="20"/>
      <c r="D24" s="20"/>
      <c r="E24" s="8"/>
      <c r="F24" s="20"/>
      <c r="G24" s="8"/>
      <c r="H24" s="18">
        <v>20</v>
      </c>
      <c r="I24" s="18">
        <v>20</v>
      </c>
      <c r="J24" s="18">
        <f t="shared" si="1"/>
        <v>0</v>
      </c>
      <c r="K24" s="21">
        <f t="shared" si="0"/>
        <v>1</v>
      </c>
    </row>
    <row r="25" spans="1:12" ht="15.75" customHeight="1">
      <c r="A25" s="18">
        <v>24</v>
      </c>
      <c r="B25" s="8"/>
      <c r="C25" s="20"/>
      <c r="D25" s="20"/>
      <c r="E25" s="8"/>
      <c r="F25" s="20"/>
      <c r="G25" s="8"/>
      <c r="H25" s="18">
        <v>60</v>
      </c>
      <c r="I25" s="18">
        <v>60</v>
      </c>
      <c r="J25" s="18">
        <f t="shared" si="1"/>
        <v>0</v>
      </c>
      <c r="K25" s="21">
        <f t="shared" si="0"/>
        <v>1</v>
      </c>
    </row>
    <row r="26" spans="1:12" ht="15.75" customHeight="1">
      <c r="A26" s="18">
        <v>25</v>
      </c>
      <c r="B26" s="8"/>
      <c r="C26" s="20"/>
      <c r="D26" s="20"/>
      <c r="E26" s="19"/>
      <c r="F26" s="20"/>
      <c r="G26" s="8"/>
      <c r="H26" s="18">
        <v>30</v>
      </c>
      <c r="I26" s="8">
        <v>30</v>
      </c>
      <c r="J26" s="18">
        <f t="shared" si="1"/>
        <v>0</v>
      </c>
      <c r="K26" s="21">
        <f t="shared" si="0"/>
        <v>1</v>
      </c>
    </row>
    <row r="27" spans="1:12" ht="15.75" customHeight="1">
      <c r="A27" s="18">
        <v>26</v>
      </c>
      <c r="B27" s="8"/>
      <c r="C27" s="20"/>
      <c r="D27" s="20"/>
      <c r="E27" s="19"/>
      <c r="F27" s="20"/>
      <c r="G27" s="8"/>
      <c r="H27" s="18">
        <v>30</v>
      </c>
      <c r="I27" s="8">
        <v>30</v>
      </c>
      <c r="J27" s="18">
        <f t="shared" si="1"/>
        <v>0</v>
      </c>
      <c r="K27" s="21">
        <f t="shared" si="0"/>
        <v>1</v>
      </c>
    </row>
    <row r="28" spans="1:12" ht="15.75" customHeight="1">
      <c r="A28" s="18">
        <v>27</v>
      </c>
      <c r="B28" s="8"/>
      <c r="C28" s="20"/>
      <c r="D28" s="20"/>
      <c r="E28" s="19"/>
      <c r="F28" s="20"/>
      <c r="G28" s="8"/>
      <c r="H28" s="18">
        <v>35</v>
      </c>
      <c r="I28" s="8">
        <v>35</v>
      </c>
      <c r="J28" s="18">
        <f t="shared" si="1"/>
        <v>0</v>
      </c>
      <c r="K28" s="21">
        <f t="shared" si="0"/>
        <v>1</v>
      </c>
    </row>
    <row r="29" spans="1:12" ht="15.75" customHeight="1">
      <c r="A29" s="18">
        <v>28</v>
      </c>
      <c r="B29" s="8"/>
      <c r="C29" s="20"/>
      <c r="D29" s="20"/>
      <c r="E29" s="19"/>
      <c r="F29" s="20"/>
      <c r="G29" s="8"/>
      <c r="H29" s="18">
        <v>60</v>
      </c>
      <c r="I29" s="8">
        <v>60</v>
      </c>
      <c r="J29" s="18">
        <f t="shared" si="1"/>
        <v>0</v>
      </c>
      <c r="K29" s="21">
        <f t="shared" si="0"/>
        <v>1</v>
      </c>
    </row>
    <row r="30" spans="1:12" ht="15.75" customHeight="1">
      <c r="A30" s="18">
        <v>29</v>
      </c>
      <c r="B30" s="8"/>
      <c r="C30" s="20"/>
      <c r="D30" s="20"/>
      <c r="E30" s="19"/>
      <c r="F30" s="20"/>
      <c r="G30" s="8"/>
      <c r="H30" s="18">
        <v>90</v>
      </c>
      <c r="I30" s="8">
        <v>90</v>
      </c>
      <c r="J30" s="18">
        <f t="shared" si="1"/>
        <v>0</v>
      </c>
      <c r="K30" s="21">
        <f t="shared" si="0"/>
        <v>1</v>
      </c>
    </row>
    <row r="31" spans="1:12" ht="15.75" customHeight="1">
      <c r="A31" s="18">
        <v>30</v>
      </c>
      <c r="B31" s="8"/>
      <c r="C31" s="20"/>
      <c r="D31" s="20"/>
      <c r="E31" s="19"/>
      <c r="F31" s="20"/>
      <c r="G31" s="8"/>
      <c r="H31" s="18">
        <v>50</v>
      </c>
      <c r="I31" s="8">
        <v>50</v>
      </c>
      <c r="J31" s="18">
        <f t="shared" si="1"/>
        <v>0</v>
      </c>
      <c r="K31" s="21">
        <f t="shared" si="0"/>
        <v>1</v>
      </c>
    </row>
    <row r="32" spans="1:12" ht="15.75" customHeight="1">
      <c r="A32" s="18">
        <v>31</v>
      </c>
      <c r="B32" s="8"/>
      <c r="C32" s="20"/>
      <c r="D32" s="20"/>
      <c r="E32" s="19"/>
      <c r="F32" s="20"/>
      <c r="G32" s="8"/>
      <c r="H32" s="18">
        <v>90</v>
      </c>
      <c r="I32" s="8">
        <v>90</v>
      </c>
      <c r="J32" s="18">
        <f t="shared" si="1"/>
        <v>0</v>
      </c>
      <c r="K32" s="21">
        <f t="shared" si="0"/>
        <v>1</v>
      </c>
    </row>
    <row r="33" spans="1:11" ht="15.75" customHeight="1">
      <c r="A33" s="18">
        <v>32</v>
      </c>
      <c r="B33" s="8"/>
      <c r="C33" s="20"/>
      <c r="D33" s="20"/>
      <c r="E33" s="19"/>
      <c r="F33" s="20"/>
      <c r="G33" s="8"/>
      <c r="H33" s="18">
        <v>30</v>
      </c>
      <c r="I33" s="8">
        <v>30</v>
      </c>
      <c r="J33" s="18">
        <f t="shared" si="1"/>
        <v>0</v>
      </c>
      <c r="K33" s="21">
        <f t="shared" si="0"/>
        <v>1</v>
      </c>
    </row>
    <row r="34" spans="1:11" ht="15.75" customHeight="1">
      <c r="A34" s="18">
        <v>33</v>
      </c>
      <c r="B34" s="8"/>
      <c r="C34" s="20"/>
      <c r="D34" s="20"/>
      <c r="E34" s="19"/>
      <c r="F34" s="20"/>
      <c r="G34" s="8"/>
      <c r="H34" s="18">
        <v>60</v>
      </c>
      <c r="I34" s="8">
        <v>60</v>
      </c>
      <c r="J34" s="18">
        <f t="shared" si="1"/>
        <v>0</v>
      </c>
      <c r="K34" s="21">
        <f t="shared" si="0"/>
        <v>1</v>
      </c>
    </row>
    <row r="35" spans="1:11" ht="15.75" customHeight="1">
      <c r="A35" s="18">
        <v>34</v>
      </c>
      <c r="B35" s="8"/>
      <c r="C35" s="20"/>
      <c r="D35" s="20"/>
      <c r="E35" s="19"/>
      <c r="F35" s="20"/>
      <c r="G35" s="8"/>
      <c r="H35" s="18">
        <v>60</v>
      </c>
      <c r="I35" s="8">
        <v>60</v>
      </c>
      <c r="J35" s="18">
        <f t="shared" si="1"/>
        <v>0</v>
      </c>
      <c r="K35" s="21">
        <f t="shared" si="0"/>
        <v>1</v>
      </c>
    </row>
    <row r="36" spans="1:11" ht="15.75" customHeight="1">
      <c r="A36" s="18">
        <v>35</v>
      </c>
      <c r="B36" s="8"/>
      <c r="C36" s="20"/>
      <c r="D36" s="19"/>
      <c r="E36" s="19"/>
      <c r="F36" s="20"/>
      <c r="G36" s="8"/>
      <c r="H36" s="18">
        <v>60</v>
      </c>
      <c r="I36" s="8">
        <v>60</v>
      </c>
      <c r="J36" s="18">
        <f t="shared" si="1"/>
        <v>0</v>
      </c>
      <c r="K36" s="21">
        <f t="shared" si="0"/>
        <v>1</v>
      </c>
    </row>
    <row r="37" spans="1:11" ht="15.75" customHeight="1">
      <c r="A37" s="18">
        <v>36</v>
      </c>
      <c r="B37" s="8"/>
      <c r="C37" s="20"/>
      <c r="D37" s="19"/>
      <c r="E37" s="19"/>
      <c r="F37" s="20"/>
      <c r="G37" s="8"/>
      <c r="H37" s="18">
        <v>60</v>
      </c>
      <c r="I37" s="8">
        <v>60</v>
      </c>
      <c r="J37" s="18">
        <f t="shared" si="1"/>
        <v>0</v>
      </c>
      <c r="K37" s="21">
        <f t="shared" si="0"/>
        <v>1</v>
      </c>
    </row>
    <row r="38" spans="1:11" ht="15.75" customHeight="1">
      <c r="A38" s="18">
        <v>37</v>
      </c>
      <c r="B38" s="8"/>
      <c r="C38" s="20"/>
      <c r="D38" s="19"/>
      <c r="E38" s="19"/>
      <c r="F38" s="20"/>
      <c r="G38" s="8"/>
      <c r="H38" s="18">
        <v>60</v>
      </c>
      <c r="I38" s="8">
        <v>60</v>
      </c>
      <c r="J38" s="18">
        <f t="shared" si="1"/>
        <v>0</v>
      </c>
      <c r="K38" s="21">
        <f t="shared" si="0"/>
        <v>1</v>
      </c>
    </row>
    <row r="39" spans="1:11" ht="15.75" customHeight="1">
      <c r="A39" s="18">
        <v>38</v>
      </c>
      <c r="B39" s="8"/>
      <c r="C39" s="20"/>
      <c r="D39" s="20"/>
      <c r="E39" s="19"/>
      <c r="F39" s="20"/>
      <c r="G39" s="8"/>
      <c r="H39" s="18">
        <v>60</v>
      </c>
      <c r="I39" s="8">
        <v>60</v>
      </c>
      <c r="J39" s="18">
        <f t="shared" si="1"/>
        <v>0</v>
      </c>
      <c r="K39" s="21">
        <f t="shared" si="0"/>
        <v>1</v>
      </c>
    </row>
    <row r="40" spans="1:11" ht="15.75" customHeight="1">
      <c r="A40" s="18">
        <v>39</v>
      </c>
      <c r="B40" s="8"/>
      <c r="C40" s="20"/>
      <c r="D40" s="20"/>
      <c r="E40" s="8"/>
      <c r="F40" s="20"/>
      <c r="G40" s="8"/>
      <c r="H40" s="18">
        <v>30</v>
      </c>
      <c r="I40" s="18">
        <v>30</v>
      </c>
      <c r="J40" s="18">
        <f t="shared" si="1"/>
        <v>0</v>
      </c>
      <c r="K40" s="21">
        <f t="shared" si="0"/>
        <v>1</v>
      </c>
    </row>
    <row r="41" spans="1:11" ht="15.75" customHeight="1">
      <c r="A41" s="18">
        <v>40</v>
      </c>
      <c r="B41" s="8"/>
      <c r="C41" s="20"/>
      <c r="D41" s="20"/>
      <c r="E41" s="19"/>
      <c r="F41" s="20"/>
      <c r="G41" s="8"/>
      <c r="H41" s="18">
        <v>30</v>
      </c>
      <c r="I41" s="18">
        <v>30</v>
      </c>
      <c r="J41" s="18">
        <f t="shared" si="1"/>
        <v>0</v>
      </c>
      <c r="K41" s="21">
        <f t="shared" si="0"/>
        <v>1</v>
      </c>
    </row>
    <row r="42" spans="1:11" ht="15.75" customHeight="1">
      <c r="A42" s="18">
        <v>41</v>
      </c>
      <c r="B42" s="8"/>
      <c r="C42" s="20"/>
      <c r="D42" s="20"/>
      <c r="E42" s="19"/>
      <c r="F42" s="20"/>
      <c r="G42" s="8"/>
      <c r="H42" s="18">
        <v>60</v>
      </c>
      <c r="I42" s="18">
        <v>60</v>
      </c>
      <c r="J42" s="18">
        <f t="shared" si="1"/>
        <v>0</v>
      </c>
      <c r="K42" s="21">
        <f t="shared" si="0"/>
        <v>1</v>
      </c>
    </row>
    <row r="43" spans="1:11" ht="15.75" customHeight="1">
      <c r="A43" s="18">
        <v>42</v>
      </c>
      <c r="B43" s="8"/>
      <c r="C43" s="20"/>
      <c r="D43" s="20"/>
      <c r="E43" s="19"/>
      <c r="F43" s="20"/>
      <c r="G43" s="8"/>
      <c r="H43" s="18">
        <v>60</v>
      </c>
      <c r="I43" s="18">
        <v>60</v>
      </c>
      <c r="J43" s="18">
        <f t="shared" si="1"/>
        <v>0</v>
      </c>
      <c r="K43" s="21">
        <f t="shared" si="0"/>
        <v>1</v>
      </c>
    </row>
    <row r="44" spans="1:11" ht="15.75" customHeight="1">
      <c r="A44" s="18">
        <v>43</v>
      </c>
      <c r="B44" s="8"/>
      <c r="C44" s="20"/>
      <c r="D44" s="20"/>
      <c r="E44" s="19"/>
      <c r="F44" s="20"/>
      <c r="G44" s="8"/>
      <c r="H44" s="18">
        <v>60</v>
      </c>
      <c r="I44" s="8">
        <v>60</v>
      </c>
      <c r="J44" s="18">
        <f t="shared" si="1"/>
        <v>0</v>
      </c>
      <c r="K44" s="21">
        <f t="shared" si="0"/>
        <v>1</v>
      </c>
    </row>
    <row r="45" spans="1:11" ht="15.75" customHeight="1">
      <c r="A45" s="18">
        <v>44</v>
      </c>
      <c r="B45" s="8"/>
      <c r="C45" s="20"/>
      <c r="D45" s="20"/>
      <c r="E45" s="19"/>
      <c r="F45" s="20"/>
      <c r="G45" s="8"/>
      <c r="H45" s="18">
        <v>90</v>
      </c>
      <c r="I45" s="8">
        <v>90</v>
      </c>
      <c r="J45" s="18">
        <f t="shared" si="1"/>
        <v>0</v>
      </c>
      <c r="K45" s="21">
        <f t="shared" si="0"/>
        <v>1</v>
      </c>
    </row>
    <row r="46" spans="1:11" ht="15.75" customHeight="1">
      <c r="A46" s="18">
        <v>45</v>
      </c>
      <c r="B46" s="8"/>
      <c r="C46" s="20"/>
      <c r="D46" s="20"/>
      <c r="E46" s="19"/>
      <c r="F46" s="20"/>
      <c r="G46" s="8"/>
      <c r="H46" s="18">
        <v>30</v>
      </c>
      <c r="I46" s="8">
        <v>30</v>
      </c>
      <c r="J46" s="18">
        <f t="shared" si="1"/>
        <v>0</v>
      </c>
      <c r="K46" s="21">
        <f t="shared" si="0"/>
        <v>1</v>
      </c>
    </row>
    <row r="47" spans="1:11" ht="15.75" customHeight="1">
      <c r="A47" s="18">
        <v>46</v>
      </c>
      <c r="B47" s="8"/>
      <c r="C47" s="20"/>
      <c r="D47" s="20"/>
      <c r="E47" s="8"/>
      <c r="F47" s="20"/>
      <c r="G47" s="8"/>
      <c r="H47" s="18">
        <v>30</v>
      </c>
      <c r="I47" s="8">
        <v>30</v>
      </c>
      <c r="J47" s="18">
        <f t="shared" si="1"/>
        <v>0</v>
      </c>
      <c r="K47" s="21">
        <f t="shared" si="0"/>
        <v>1</v>
      </c>
    </row>
    <row r="48" spans="1:11" ht="15.75" customHeight="1">
      <c r="A48" s="18">
        <v>47</v>
      </c>
      <c r="B48" s="8"/>
      <c r="C48" s="20"/>
      <c r="D48" s="20"/>
      <c r="E48" s="8"/>
      <c r="F48" s="20"/>
      <c r="G48" s="8"/>
      <c r="H48" s="18">
        <v>30</v>
      </c>
      <c r="I48" s="18">
        <v>30</v>
      </c>
      <c r="J48" s="18">
        <f t="shared" si="1"/>
        <v>0</v>
      </c>
      <c r="K48" s="21">
        <f t="shared" si="0"/>
        <v>1</v>
      </c>
    </row>
    <row r="49" spans="1:11" ht="15.75" customHeight="1">
      <c r="A49" s="18">
        <v>48</v>
      </c>
      <c r="B49" s="8"/>
      <c r="C49" s="20"/>
      <c r="D49" s="20"/>
      <c r="E49" s="8"/>
      <c r="F49" s="20"/>
      <c r="G49" s="8"/>
      <c r="H49" s="18">
        <v>45</v>
      </c>
      <c r="I49" s="8">
        <v>45</v>
      </c>
      <c r="J49" s="18">
        <f t="shared" si="1"/>
        <v>0</v>
      </c>
      <c r="K49" s="21">
        <f t="shared" si="0"/>
        <v>1</v>
      </c>
    </row>
    <row r="50" spans="1:11" ht="15.75" customHeight="1">
      <c r="A50" s="18">
        <v>49</v>
      </c>
      <c r="B50" s="8"/>
      <c r="C50" s="20"/>
      <c r="D50" s="20"/>
      <c r="E50" s="8"/>
      <c r="F50" s="20"/>
      <c r="G50" s="8"/>
      <c r="H50" s="18">
        <v>45</v>
      </c>
      <c r="I50" s="8">
        <v>45</v>
      </c>
      <c r="J50" s="18">
        <f t="shared" si="1"/>
        <v>0</v>
      </c>
      <c r="K50" s="21">
        <f t="shared" si="0"/>
        <v>1</v>
      </c>
    </row>
    <row r="51" spans="1:11" ht="15.75" customHeight="1">
      <c r="A51" s="18">
        <v>50</v>
      </c>
      <c r="B51" s="8"/>
      <c r="C51" s="20"/>
      <c r="D51" s="20"/>
      <c r="E51" s="8"/>
      <c r="F51" s="20"/>
      <c r="G51" s="8"/>
      <c r="H51" s="18">
        <v>60</v>
      </c>
      <c r="I51" s="8">
        <v>60</v>
      </c>
      <c r="J51" s="18">
        <f t="shared" si="1"/>
        <v>0</v>
      </c>
      <c r="K51" s="21">
        <f t="shared" si="0"/>
        <v>1</v>
      </c>
    </row>
    <row r="52" spans="1:11" ht="15.75" customHeight="1">
      <c r="A52" s="18">
        <v>51</v>
      </c>
      <c r="B52" s="8"/>
      <c r="C52" s="20"/>
      <c r="D52" s="20"/>
      <c r="E52" s="8"/>
      <c r="F52" s="20"/>
      <c r="G52" s="8"/>
      <c r="H52" s="18">
        <v>45</v>
      </c>
      <c r="I52" s="18">
        <v>45</v>
      </c>
      <c r="J52" s="18">
        <f t="shared" si="1"/>
        <v>0</v>
      </c>
      <c r="K52" s="21">
        <f t="shared" si="0"/>
        <v>1</v>
      </c>
    </row>
    <row r="53" spans="1:11" ht="15.75" customHeight="1">
      <c r="A53" s="18">
        <v>52</v>
      </c>
      <c r="B53" s="8"/>
      <c r="C53" s="20"/>
      <c r="D53" s="20"/>
      <c r="E53" s="8"/>
      <c r="F53" s="20"/>
      <c r="G53" s="8"/>
      <c r="H53" s="18">
        <v>30</v>
      </c>
      <c r="I53" s="18">
        <v>30</v>
      </c>
      <c r="J53" s="18">
        <f t="shared" si="1"/>
        <v>0</v>
      </c>
      <c r="K53" s="21">
        <f t="shared" si="0"/>
        <v>1</v>
      </c>
    </row>
    <row r="54" spans="1:11" ht="15.75" customHeight="1">
      <c r="A54" s="18">
        <v>53</v>
      </c>
      <c r="B54" s="8"/>
      <c r="C54" s="20"/>
      <c r="D54" s="20"/>
      <c r="E54" s="8"/>
      <c r="F54" s="20"/>
      <c r="G54" s="8"/>
      <c r="H54" s="18">
        <v>30</v>
      </c>
      <c r="I54" s="18">
        <v>30</v>
      </c>
      <c r="J54" s="18">
        <f t="shared" si="1"/>
        <v>0</v>
      </c>
      <c r="K54" s="21">
        <f t="shared" si="0"/>
        <v>1</v>
      </c>
    </row>
    <row r="55" spans="1:11" ht="15.75" customHeight="1">
      <c r="A55" s="18">
        <v>54</v>
      </c>
      <c r="B55" s="8"/>
      <c r="C55" s="20"/>
      <c r="D55" s="20"/>
      <c r="E55" s="8"/>
      <c r="F55" s="20"/>
      <c r="G55" s="8"/>
      <c r="H55" s="18">
        <v>30</v>
      </c>
      <c r="I55" s="18">
        <v>30</v>
      </c>
      <c r="J55" s="18">
        <f t="shared" si="1"/>
        <v>0</v>
      </c>
      <c r="K55" s="21">
        <f t="shared" si="0"/>
        <v>1</v>
      </c>
    </row>
    <row r="56" spans="1:11" ht="15.75" customHeight="1">
      <c r="A56" s="18">
        <v>55</v>
      </c>
      <c r="B56" s="8"/>
      <c r="C56" s="20"/>
      <c r="D56" s="20"/>
      <c r="E56" s="8"/>
      <c r="F56" s="20"/>
      <c r="G56" s="8"/>
      <c r="H56" s="18">
        <v>30</v>
      </c>
      <c r="I56" s="18">
        <v>30</v>
      </c>
      <c r="J56" s="18">
        <f t="shared" si="1"/>
        <v>0</v>
      </c>
      <c r="K56" s="21">
        <f t="shared" si="0"/>
        <v>1</v>
      </c>
    </row>
    <row r="57" spans="1:11" ht="15.75" customHeight="1">
      <c r="A57" s="18">
        <v>56</v>
      </c>
      <c r="B57" s="8"/>
      <c r="C57" s="20"/>
      <c r="D57" s="20"/>
      <c r="E57" s="8"/>
      <c r="F57" s="20"/>
      <c r="G57" s="8"/>
      <c r="H57" s="18">
        <v>90</v>
      </c>
      <c r="I57" s="18">
        <v>90</v>
      </c>
      <c r="J57" s="18">
        <f t="shared" si="1"/>
        <v>0</v>
      </c>
      <c r="K57" s="21">
        <f t="shared" si="0"/>
        <v>1</v>
      </c>
    </row>
    <row r="58" spans="1:11" ht="15.75" customHeight="1">
      <c r="A58" s="18">
        <v>57</v>
      </c>
      <c r="B58" s="8"/>
      <c r="C58" s="20"/>
      <c r="D58" s="20"/>
      <c r="E58" s="8"/>
      <c r="F58" s="20"/>
      <c r="G58" s="8"/>
      <c r="H58" s="18">
        <v>30</v>
      </c>
      <c r="I58" s="18">
        <v>30</v>
      </c>
      <c r="J58" s="18">
        <f t="shared" si="1"/>
        <v>0</v>
      </c>
      <c r="K58" s="21">
        <f t="shared" si="0"/>
        <v>1</v>
      </c>
    </row>
    <row r="59" spans="1:11" ht="15.75" customHeight="1">
      <c r="A59" s="18">
        <v>58</v>
      </c>
      <c r="B59" s="8"/>
      <c r="C59" s="20"/>
      <c r="D59" s="20"/>
      <c r="E59" s="8"/>
      <c r="F59" s="20"/>
      <c r="G59" s="8"/>
      <c r="H59" s="18">
        <v>30</v>
      </c>
      <c r="I59" s="18">
        <v>30</v>
      </c>
      <c r="J59" s="18">
        <f t="shared" si="1"/>
        <v>0</v>
      </c>
      <c r="K59" s="21">
        <f t="shared" si="0"/>
        <v>1</v>
      </c>
    </row>
    <row r="60" spans="1:11" ht="15.75" customHeight="1">
      <c r="A60" s="18">
        <v>59</v>
      </c>
      <c r="B60" s="8"/>
      <c r="C60" s="20"/>
      <c r="D60" s="20"/>
      <c r="E60" s="8"/>
      <c r="F60" s="20"/>
      <c r="G60" s="8"/>
      <c r="H60" s="18">
        <v>20</v>
      </c>
      <c r="I60" s="18">
        <v>20</v>
      </c>
      <c r="J60" s="18">
        <f t="shared" si="1"/>
        <v>0</v>
      </c>
      <c r="K60" s="21">
        <f t="shared" si="0"/>
        <v>1</v>
      </c>
    </row>
    <row r="61" spans="1:11" ht="15.75" customHeight="1">
      <c r="A61" s="18">
        <v>60</v>
      </c>
      <c r="B61" s="8"/>
      <c r="C61" s="20"/>
      <c r="D61" s="20"/>
      <c r="E61" s="8"/>
      <c r="F61" s="20"/>
      <c r="G61" s="8"/>
      <c r="H61" s="18">
        <v>15</v>
      </c>
      <c r="I61" s="18">
        <v>15</v>
      </c>
      <c r="J61" s="18">
        <f t="shared" si="1"/>
        <v>0</v>
      </c>
      <c r="K61" s="21">
        <f t="shared" si="0"/>
        <v>1</v>
      </c>
    </row>
    <row r="62" spans="1:11" ht="15.75" customHeight="1">
      <c r="A62" s="18">
        <v>61</v>
      </c>
      <c r="B62" s="8"/>
      <c r="C62" s="20"/>
      <c r="D62" s="20"/>
      <c r="E62" s="8"/>
      <c r="F62" s="20"/>
      <c r="G62" s="8"/>
      <c r="H62" s="18">
        <v>30</v>
      </c>
      <c r="I62" s="18">
        <v>30</v>
      </c>
      <c r="J62" s="18">
        <f t="shared" si="1"/>
        <v>0</v>
      </c>
      <c r="K62" s="21">
        <f t="shared" si="0"/>
        <v>1</v>
      </c>
    </row>
    <row r="63" spans="1:11" ht="15.75" customHeight="1">
      <c r="A63" s="18">
        <v>62</v>
      </c>
      <c r="B63" s="8"/>
      <c r="C63" s="20"/>
      <c r="D63" s="20"/>
      <c r="E63" s="8"/>
      <c r="F63" s="20"/>
      <c r="G63" s="8"/>
      <c r="H63" s="18">
        <v>60</v>
      </c>
      <c r="I63" s="8">
        <v>60</v>
      </c>
      <c r="J63" s="18">
        <f t="shared" si="1"/>
        <v>0</v>
      </c>
      <c r="K63" s="21">
        <f t="shared" si="0"/>
        <v>1</v>
      </c>
    </row>
    <row r="64" spans="1:11" ht="15.75" customHeight="1">
      <c r="A64" s="18">
        <v>63</v>
      </c>
      <c r="B64" s="8"/>
      <c r="C64" s="20"/>
      <c r="D64" s="20"/>
      <c r="E64" s="8"/>
      <c r="F64" s="20"/>
      <c r="G64" s="8"/>
      <c r="H64" s="18">
        <v>60</v>
      </c>
      <c r="I64" s="8">
        <v>60</v>
      </c>
      <c r="J64" s="18">
        <f t="shared" si="1"/>
        <v>0</v>
      </c>
      <c r="K64" s="21">
        <f t="shared" si="0"/>
        <v>1</v>
      </c>
    </row>
    <row r="65" spans="1:11" ht="15.75" customHeight="1">
      <c r="A65" s="18">
        <v>64</v>
      </c>
      <c r="B65" s="8"/>
      <c r="C65" s="20"/>
      <c r="D65" s="20"/>
      <c r="E65" s="8"/>
      <c r="F65" s="20"/>
      <c r="G65" s="8"/>
      <c r="H65" s="18">
        <v>60</v>
      </c>
      <c r="I65" s="8">
        <v>60</v>
      </c>
      <c r="J65" s="18">
        <f t="shared" si="1"/>
        <v>0</v>
      </c>
      <c r="K65" s="21">
        <f t="shared" si="0"/>
        <v>1</v>
      </c>
    </row>
    <row r="66" spans="1:11" ht="15.75" customHeight="1">
      <c r="A66" s="18">
        <v>65</v>
      </c>
      <c r="B66" s="8"/>
      <c r="C66" s="20"/>
      <c r="D66" s="20"/>
      <c r="E66" s="8"/>
      <c r="F66" s="20"/>
      <c r="G66" s="8"/>
      <c r="H66" s="18">
        <v>60</v>
      </c>
      <c r="I66" s="8">
        <v>60</v>
      </c>
      <c r="J66" s="18">
        <f t="shared" si="1"/>
        <v>0</v>
      </c>
      <c r="K66" s="21">
        <f t="shared" si="0"/>
        <v>1</v>
      </c>
    </row>
    <row r="67" spans="1:11" ht="15.75" customHeight="1">
      <c r="A67" s="18">
        <v>66</v>
      </c>
      <c r="B67" s="8"/>
      <c r="C67" s="19"/>
      <c r="D67" s="19"/>
      <c r="E67" s="8"/>
      <c r="F67" s="19"/>
      <c r="G67" s="8"/>
      <c r="H67" s="18">
        <v>20</v>
      </c>
      <c r="I67" s="8">
        <v>20</v>
      </c>
      <c r="J67" s="18">
        <f t="shared" si="1"/>
        <v>0</v>
      </c>
      <c r="K67" s="21">
        <f t="shared" si="0"/>
        <v>1</v>
      </c>
    </row>
    <row r="68" spans="1:11" ht="15.75" customHeight="1">
      <c r="A68" s="18">
        <v>67</v>
      </c>
      <c r="B68" s="8"/>
      <c r="C68" s="19"/>
      <c r="D68" s="19"/>
      <c r="E68" s="8"/>
      <c r="F68" s="19"/>
      <c r="G68" s="8"/>
      <c r="H68" s="18">
        <v>20</v>
      </c>
      <c r="I68" s="8">
        <v>20</v>
      </c>
      <c r="J68" s="18">
        <f t="shared" si="1"/>
        <v>0</v>
      </c>
      <c r="K68" s="21">
        <f t="shared" si="0"/>
        <v>1</v>
      </c>
    </row>
    <row r="69" spans="1:11" ht="15.75" customHeight="1">
      <c r="A69" s="18">
        <v>68</v>
      </c>
      <c r="B69" s="8"/>
      <c r="C69" s="19"/>
      <c r="D69" s="19"/>
      <c r="E69" s="19"/>
      <c r="F69" s="19"/>
      <c r="G69" s="8"/>
      <c r="H69" s="18">
        <v>60</v>
      </c>
      <c r="I69" s="8">
        <v>60</v>
      </c>
      <c r="J69" s="18">
        <f t="shared" si="1"/>
        <v>0</v>
      </c>
      <c r="K69" s="21">
        <f t="shared" si="0"/>
        <v>1</v>
      </c>
    </row>
    <row r="70" spans="1:11" ht="15.75" customHeight="1">
      <c r="A70" s="18">
        <v>69</v>
      </c>
      <c r="B70" s="8"/>
      <c r="C70" s="19"/>
      <c r="D70" s="19"/>
      <c r="E70" s="19"/>
      <c r="F70" s="20"/>
      <c r="G70" s="8"/>
      <c r="H70" s="18">
        <v>60</v>
      </c>
      <c r="I70" s="8">
        <v>60</v>
      </c>
      <c r="J70" s="18">
        <f t="shared" si="1"/>
        <v>0</v>
      </c>
      <c r="K70" s="21">
        <f t="shared" si="0"/>
        <v>1</v>
      </c>
    </row>
    <row r="71" spans="1:11" ht="15.75" customHeight="1">
      <c r="A71" s="18">
        <v>70</v>
      </c>
      <c r="B71" s="8"/>
      <c r="C71" s="19"/>
      <c r="D71" s="19"/>
      <c r="E71" s="19"/>
      <c r="F71" s="20"/>
      <c r="G71" s="8"/>
      <c r="H71" s="18">
        <v>60</v>
      </c>
      <c r="I71" s="8">
        <v>60</v>
      </c>
      <c r="J71" s="18">
        <f t="shared" si="1"/>
        <v>0</v>
      </c>
      <c r="K71" s="21">
        <f t="shared" si="0"/>
        <v>1</v>
      </c>
    </row>
    <row r="72" spans="1:11" ht="15.75" customHeight="1">
      <c r="A72" s="18">
        <v>71</v>
      </c>
      <c r="B72" s="8"/>
      <c r="C72" s="19"/>
      <c r="D72" s="19"/>
      <c r="E72" s="19"/>
      <c r="F72" s="20"/>
      <c r="G72" s="8"/>
      <c r="H72" s="18">
        <v>60</v>
      </c>
      <c r="I72" s="8">
        <v>60</v>
      </c>
      <c r="J72" s="18">
        <f t="shared" si="1"/>
        <v>0</v>
      </c>
      <c r="K72" s="21">
        <f t="shared" si="0"/>
        <v>1</v>
      </c>
    </row>
    <row r="73" spans="1:11" ht="15.75" customHeight="1">
      <c r="A73" s="18">
        <v>72</v>
      </c>
      <c r="B73" s="8"/>
      <c r="C73" s="19"/>
      <c r="D73" s="19"/>
      <c r="E73" s="19"/>
      <c r="F73" s="20"/>
      <c r="G73" s="8"/>
      <c r="H73" s="18">
        <v>60</v>
      </c>
      <c r="I73" s="8">
        <v>60</v>
      </c>
      <c r="J73" s="18">
        <f t="shared" si="1"/>
        <v>0</v>
      </c>
      <c r="K73" s="21">
        <f t="shared" si="0"/>
        <v>1</v>
      </c>
    </row>
    <row r="74" spans="1:11" ht="15.75" customHeight="1">
      <c r="A74" s="18">
        <v>73</v>
      </c>
      <c r="B74" s="8"/>
      <c r="C74" s="20"/>
      <c r="D74" s="19"/>
      <c r="E74" s="19"/>
      <c r="F74" s="19"/>
      <c r="G74" s="8"/>
      <c r="H74" s="18">
        <v>30</v>
      </c>
      <c r="I74" s="8">
        <v>30</v>
      </c>
      <c r="J74" s="18">
        <v>0</v>
      </c>
      <c r="K74" s="21">
        <f t="shared" si="0"/>
        <v>1</v>
      </c>
    </row>
    <row r="75" spans="1:11" ht="15.75" customHeight="1">
      <c r="A75" s="18">
        <v>74</v>
      </c>
      <c r="B75" s="8"/>
      <c r="C75" s="20"/>
      <c r="D75" s="19"/>
      <c r="E75" s="19"/>
      <c r="F75" s="19"/>
      <c r="G75" s="8"/>
      <c r="H75" s="18">
        <v>60</v>
      </c>
      <c r="I75" s="8">
        <v>65</v>
      </c>
      <c r="J75" s="18">
        <v>0</v>
      </c>
      <c r="K75" s="21">
        <f t="shared" si="0"/>
        <v>1</v>
      </c>
    </row>
    <row r="76" spans="1:11" ht="15.75" customHeight="1">
      <c r="A76" s="18">
        <v>75</v>
      </c>
      <c r="B76" s="8"/>
      <c r="C76" s="20"/>
      <c r="D76" s="19"/>
      <c r="E76" s="19"/>
      <c r="F76" s="19"/>
      <c r="G76" s="8"/>
      <c r="H76" s="18">
        <v>30</v>
      </c>
      <c r="I76" s="8">
        <v>30</v>
      </c>
      <c r="J76" s="18">
        <f>H76-I76</f>
        <v>0</v>
      </c>
      <c r="K76" s="21">
        <f t="shared" si="0"/>
        <v>1</v>
      </c>
    </row>
    <row r="77" spans="1:11" ht="15.75" customHeight="1">
      <c r="A77" s="18">
        <v>76</v>
      </c>
      <c r="B77" s="8"/>
      <c r="C77" s="20"/>
      <c r="D77" s="19"/>
      <c r="E77" s="19"/>
      <c r="F77" s="19"/>
      <c r="G77" s="8"/>
      <c r="H77" s="18">
        <v>30</v>
      </c>
      <c r="I77" s="8">
        <v>30</v>
      </c>
      <c r="J77" s="18">
        <v>0</v>
      </c>
      <c r="K77" s="21">
        <f t="shared" si="0"/>
        <v>1</v>
      </c>
    </row>
    <row r="78" spans="1:11" ht="15.75" customHeight="1">
      <c r="A78" s="18">
        <v>77</v>
      </c>
      <c r="B78" s="8"/>
      <c r="C78" s="20"/>
      <c r="D78" s="19"/>
      <c r="E78" s="19"/>
      <c r="F78" s="19"/>
      <c r="G78" s="8"/>
      <c r="H78" s="18">
        <v>30</v>
      </c>
      <c r="I78" s="8">
        <v>30</v>
      </c>
      <c r="J78" s="18">
        <v>0</v>
      </c>
      <c r="K78" s="21">
        <f t="shared" si="0"/>
        <v>1</v>
      </c>
    </row>
    <row r="79" spans="1:11" ht="15.75" customHeight="1">
      <c r="A79" s="18">
        <v>78</v>
      </c>
      <c r="B79" s="8"/>
      <c r="C79" s="20"/>
      <c r="D79" s="19"/>
      <c r="E79" s="19"/>
      <c r="F79" s="19"/>
      <c r="G79" s="8"/>
      <c r="H79" s="18">
        <v>15</v>
      </c>
      <c r="I79" s="8">
        <v>15</v>
      </c>
      <c r="J79" s="18">
        <v>0</v>
      </c>
      <c r="K79" s="21">
        <f t="shared" si="0"/>
        <v>1</v>
      </c>
    </row>
    <row r="80" spans="1:11" ht="15.75" customHeight="1">
      <c r="A80" s="18">
        <v>79</v>
      </c>
      <c r="B80" s="8"/>
      <c r="C80" s="20"/>
      <c r="D80" s="19"/>
      <c r="E80" s="19"/>
      <c r="F80" s="19"/>
      <c r="G80" s="8"/>
      <c r="H80" s="18">
        <v>60</v>
      </c>
      <c r="I80" s="8">
        <v>60</v>
      </c>
      <c r="J80" s="18">
        <v>0</v>
      </c>
      <c r="K80" s="21">
        <f t="shared" si="0"/>
        <v>1</v>
      </c>
    </row>
    <row r="81" spans="1:11" ht="15.75" customHeight="1">
      <c r="A81" s="18">
        <v>80</v>
      </c>
      <c r="B81" s="8"/>
      <c r="C81" s="20"/>
      <c r="D81" s="19"/>
      <c r="E81" s="19"/>
      <c r="F81" s="19"/>
      <c r="G81" s="8"/>
      <c r="H81" s="18">
        <v>30</v>
      </c>
      <c r="I81" s="8">
        <v>30</v>
      </c>
      <c r="J81" s="18">
        <v>0</v>
      </c>
      <c r="K81" s="21">
        <f t="shared" si="0"/>
        <v>1</v>
      </c>
    </row>
    <row r="82" spans="1:11" ht="15.75" customHeight="1">
      <c r="A82" s="18">
        <v>81</v>
      </c>
      <c r="B82" s="8"/>
      <c r="C82" s="20"/>
      <c r="D82" s="19"/>
      <c r="E82" s="19"/>
      <c r="F82" s="19"/>
      <c r="G82" s="8"/>
      <c r="H82" s="18">
        <v>30</v>
      </c>
      <c r="I82" s="8">
        <v>30</v>
      </c>
      <c r="J82" s="18">
        <v>0</v>
      </c>
      <c r="K82" s="21">
        <f t="shared" si="0"/>
        <v>1</v>
      </c>
    </row>
    <row r="83" spans="1:11" ht="15.75" customHeight="1">
      <c r="A83" s="18">
        <v>82</v>
      </c>
      <c r="B83" s="8"/>
      <c r="C83" s="19"/>
      <c r="D83" s="19"/>
      <c r="E83" s="19"/>
      <c r="F83" s="19"/>
      <c r="G83" s="8"/>
      <c r="H83" s="18">
        <v>30</v>
      </c>
      <c r="I83" s="8">
        <v>30</v>
      </c>
      <c r="J83" s="18">
        <v>0</v>
      </c>
      <c r="K83" s="21">
        <f t="shared" si="0"/>
        <v>1</v>
      </c>
    </row>
    <row r="84" spans="1:11" ht="15.75" customHeight="1">
      <c r="A84" s="18">
        <v>83</v>
      </c>
      <c r="B84" s="8"/>
      <c r="C84" s="19"/>
      <c r="D84" s="19"/>
      <c r="E84" s="19"/>
      <c r="F84" s="19"/>
      <c r="G84" s="8"/>
      <c r="H84" s="18">
        <v>30</v>
      </c>
      <c r="I84" s="8">
        <v>30</v>
      </c>
      <c r="J84" s="18">
        <v>0</v>
      </c>
      <c r="K84" s="21">
        <f t="shared" si="0"/>
        <v>1</v>
      </c>
    </row>
    <row r="85" spans="1:11" ht="15.75" customHeight="1"/>
    <row r="86" spans="1:11" ht="15.75" customHeight="1"/>
    <row r="87" spans="1:11" ht="15.75" customHeight="1"/>
    <row r="88" spans="1:11" ht="15.75" customHeight="1"/>
    <row r="89" spans="1:11" ht="15.75" customHeight="1"/>
    <row r="90" spans="1:11" ht="15.75" customHeight="1"/>
    <row r="91" spans="1:11" ht="15.75" customHeight="1"/>
    <row r="92" spans="1:11" ht="15.75" customHeight="1"/>
    <row r="93" spans="1:11" ht="15.75" customHeight="1"/>
    <row r="94" spans="1:11" ht="15.75" customHeight="1"/>
    <row r="95" spans="1:11" ht="15.75" customHeight="1"/>
    <row r="96" spans="1:1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0"/>
  <sheetViews>
    <sheetView showGridLines="0" workbookViewId="0">
      <selection activeCell="D17" sqref="D17"/>
    </sheetView>
  </sheetViews>
  <sheetFormatPr defaultColWidth="12.5703125" defaultRowHeight="15" customHeight="1"/>
  <cols>
    <col min="1" max="1" width="12.5703125" customWidth="1"/>
    <col min="2" max="2" width="19" customWidth="1"/>
    <col min="3" max="3" width="20.42578125" customWidth="1"/>
    <col min="4" max="4" width="19.42578125" customWidth="1"/>
    <col min="5" max="6" width="12.5703125" customWidth="1"/>
  </cols>
  <sheetData>
    <row r="1" spans="1:4" ht="15.75" customHeight="1">
      <c r="A1" s="22"/>
      <c r="B1" s="23" t="s">
        <v>28</v>
      </c>
      <c r="C1" s="24"/>
      <c r="D1" s="25"/>
    </row>
    <row r="2" spans="1:4" ht="15.75" customHeight="1">
      <c r="A2" s="23" t="s">
        <v>10</v>
      </c>
      <c r="B2" s="22" t="s">
        <v>17</v>
      </c>
      <c r="C2" s="26" t="s">
        <v>18</v>
      </c>
      <c r="D2" s="27" t="s">
        <v>19</v>
      </c>
    </row>
    <row r="3" spans="1:4" ht="15.75" customHeight="1">
      <c r="A3" s="22" t="s">
        <v>0</v>
      </c>
      <c r="B3" s="29">
        <v>150</v>
      </c>
      <c r="C3" s="30">
        <v>95</v>
      </c>
      <c r="D3" s="31">
        <v>55</v>
      </c>
    </row>
    <row r="4" spans="1:4" ht="15.75" customHeight="1">
      <c r="A4" s="28" t="s">
        <v>29</v>
      </c>
      <c r="B4" s="32">
        <v>150</v>
      </c>
      <c r="C4" s="33">
        <v>95</v>
      </c>
      <c r="D4" s="34">
        <v>55</v>
      </c>
    </row>
    <row r="5" spans="1:4" ht="15.75" customHeight="1"/>
    <row r="6" spans="1:4" ht="15.75" customHeight="1"/>
    <row r="7" spans="1:4" ht="15.75" customHeight="1"/>
    <row r="8" spans="1:4" ht="15.75" customHeight="1"/>
    <row r="9" spans="1:4" ht="15.75" customHeight="1"/>
    <row r="10" spans="1:4" ht="15.75" customHeight="1"/>
    <row r="11" spans="1:4" ht="15.75" customHeight="1"/>
    <row r="12" spans="1:4" ht="15.75" customHeight="1">
      <c r="A12" s="14" t="s">
        <v>14</v>
      </c>
      <c r="B12" s="15">
        <f>avancement!D2</f>
        <v>0.95290423861852436</v>
      </c>
    </row>
    <row r="13" spans="1:4" ht="15.75" customHeight="1"/>
    <row r="14" spans="1:4" ht="15.75" customHeight="1"/>
    <row r="15" spans="1:4" ht="15.75" customHeight="1"/>
    <row r="16" spans="1:4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000"/>
  <sheetViews>
    <sheetView workbookViewId="0"/>
  </sheetViews>
  <sheetFormatPr defaultColWidth="12.5703125" defaultRowHeight="15" customHeight="1"/>
  <cols>
    <col min="1" max="1" width="15.7109375" customWidth="1"/>
    <col min="2" max="2" width="17.85546875" customWidth="1"/>
    <col min="3" max="3" width="17" customWidth="1"/>
    <col min="4" max="4" width="18.28515625" customWidth="1"/>
    <col min="5" max="5" width="13.7109375" customWidth="1"/>
    <col min="6" max="6" width="12.5703125" customWidth="1"/>
  </cols>
  <sheetData>
    <row r="1" spans="1:5" ht="15.75" customHeight="1">
      <c r="A1" s="9" t="s">
        <v>20</v>
      </c>
      <c r="B1" s="9" t="s">
        <v>21</v>
      </c>
      <c r="C1" s="9" t="s">
        <v>22</v>
      </c>
      <c r="D1" s="9" t="s">
        <v>23</v>
      </c>
      <c r="E1" s="9" t="s">
        <v>24</v>
      </c>
    </row>
    <row r="2" spans="1:5" ht="15.75" customHeight="1">
      <c r="A2" s="10">
        <f>SUM('liste des taches'!H:H)</f>
        <v>3180</v>
      </c>
      <c r="B2" s="10">
        <f>SUM('liste des taches'!I:I)</f>
        <v>3035</v>
      </c>
      <c r="C2" s="10">
        <f>SUM('liste des taches'!J:J)</f>
        <v>150</v>
      </c>
      <c r="D2" s="11">
        <f>(B2/(B2+C2))</f>
        <v>0.95290423861852436</v>
      </c>
      <c r="E2" s="11">
        <f>((B2+C2)-A2)/A2</f>
        <v>1.5723270440251573E-3</v>
      </c>
    </row>
    <row r="3" spans="1:5" ht="15.75" customHeight="1">
      <c r="A3" s="12"/>
      <c r="B3" s="12"/>
      <c r="C3" s="13">
        <f>C2/60</f>
        <v>2.5</v>
      </c>
      <c r="D3" s="12" t="s">
        <v>25</v>
      </c>
      <c r="E3" s="12"/>
    </row>
    <row r="4" spans="1:5" ht="15.75" customHeight="1"/>
    <row r="5" spans="1:5" ht="15.75" customHeight="1"/>
    <row r="6" spans="1:5" ht="15.75" customHeight="1"/>
    <row r="7" spans="1:5" ht="15.75" customHeight="1"/>
    <row r="8" spans="1:5" ht="15.75" customHeight="1"/>
    <row r="9" spans="1:5" ht="15.75" customHeight="1"/>
    <row r="10" spans="1:5" ht="15.75" customHeight="1"/>
    <row r="11" spans="1:5" ht="15.75" customHeight="1"/>
    <row r="12" spans="1:5" ht="15.75" customHeight="1"/>
    <row r="13" spans="1:5" ht="15.75" customHeight="1"/>
    <row r="14" spans="1:5" ht="15.75" customHeight="1"/>
    <row r="15" spans="1:5" ht="15.75" customHeight="1"/>
    <row r="16" spans="1: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000"/>
  <sheetViews>
    <sheetView workbookViewId="0">
      <selection activeCell="M7" sqref="M7"/>
    </sheetView>
  </sheetViews>
  <sheetFormatPr defaultColWidth="12.5703125" defaultRowHeight="15" customHeight="1"/>
  <cols>
    <col min="1" max="7" width="12.5703125" customWidth="1"/>
  </cols>
  <sheetData>
    <row r="1" spans="1:10" ht="15.75" customHeight="1">
      <c r="A1" s="1" t="s">
        <v>26</v>
      </c>
      <c r="B1" s="2" t="s">
        <v>27</v>
      </c>
      <c r="C1" s="3">
        <v>46048</v>
      </c>
      <c r="D1" s="3">
        <v>46049</v>
      </c>
      <c r="E1" s="3">
        <v>46053</v>
      </c>
      <c r="F1" s="3">
        <v>46055</v>
      </c>
      <c r="G1" s="3">
        <v>46056</v>
      </c>
      <c r="H1" s="3">
        <v>46060</v>
      </c>
      <c r="I1" s="3">
        <v>46061</v>
      </c>
      <c r="J1" s="3">
        <v>46063</v>
      </c>
    </row>
    <row r="2" spans="1:10" ht="15.75" customHeight="1">
      <c r="A2" s="4"/>
      <c r="B2" s="5"/>
      <c r="C2" s="6"/>
      <c r="D2" s="4"/>
      <c r="E2" s="7"/>
      <c r="F2" s="7"/>
      <c r="G2" s="7"/>
      <c r="H2" s="7"/>
      <c r="I2" s="7"/>
      <c r="J2" s="7"/>
    </row>
    <row r="3" spans="1:10" ht="15.75" customHeight="1">
      <c r="A3" s="4"/>
      <c r="B3" s="5"/>
      <c r="C3" s="6"/>
      <c r="D3" s="7"/>
      <c r="E3" s="7"/>
      <c r="F3" s="7"/>
      <c r="G3" s="7"/>
      <c r="H3" s="7"/>
      <c r="I3" s="7"/>
      <c r="J3" s="7"/>
    </row>
    <row r="4" spans="1:10" ht="15.75" customHeight="1">
      <c r="A4" s="4"/>
      <c r="B4" s="5"/>
      <c r="C4" s="4"/>
      <c r="D4" s="4"/>
      <c r="E4" s="7"/>
      <c r="F4" s="7"/>
      <c r="G4" s="7"/>
      <c r="H4" s="7"/>
      <c r="I4" s="7"/>
      <c r="J4" s="7"/>
    </row>
    <row r="5" spans="1:10" ht="15.75" customHeight="1">
      <c r="A5" s="4"/>
      <c r="B5" s="5"/>
      <c r="C5" s="6"/>
      <c r="D5" s="7"/>
      <c r="E5" s="7"/>
      <c r="F5" s="7"/>
      <c r="G5" s="7"/>
      <c r="H5" s="7"/>
      <c r="I5" s="7"/>
      <c r="J5" s="7"/>
    </row>
    <row r="6" spans="1:10" ht="15.75" customHeight="1">
      <c r="A6" s="4"/>
      <c r="B6" s="5"/>
      <c r="C6" s="6"/>
      <c r="D6" s="6"/>
      <c r="E6" s="7"/>
      <c r="F6" s="7"/>
      <c r="G6" s="7"/>
      <c r="H6" s="7"/>
      <c r="I6" s="7"/>
      <c r="J6" s="7"/>
    </row>
    <row r="7" spans="1:10" ht="15.75" customHeight="1">
      <c r="A7" s="4"/>
      <c r="B7" s="5"/>
      <c r="C7" s="6"/>
      <c r="D7" s="7"/>
      <c r="E7" s="7"/>
      <c r="F7" s="7"/>
      <c r="G7" s="7"/>
      <c r="H7" s="7"/>
      <c r="I7" s="7"/>
      <c r="J7" s="7"/>
    </row>
    <row r="8" spans="1:10" ht="15.75" customHeight="1">
      <c r="A8" s="4"/>
      <c r="B8" s="5"/>
      <c r="C8" s="6"/>
      <c r="D8" s="6"/>
      <c r="E8" s="7"/>
      <c r="F8" s="7"/>
      <c r="G8" s="7"/>
      <c r="H8" s="7"/>
      <c r="I8" s="7"/>
      <c r="J8" s="7"/>
    </row>
    <row r="9" spans="1:10" ht="15.75" customHeight="1">
      <c r="A9" s="4"/>
      <c r="B9" s="5"/>
      <c r="C9" s="6"/>
      <c r="D9" s="8"/>
      <c r="E9" s="8"/>
      <c r="F9" s="8"/>
      <c r="G9" s="7"/>
      <c r="H9" s="7"/>
      <c r="I9" s="7"/>
      <c r="J9" s="7"/>
    </row>
    <row r="10" spans="1:10" ht="15.75" customHeight="1">
      <c r="A10" s="4"/>
      <c r="B10" s="5"/>
      <c r="C10" s="6"/>
      <c r="D10" s="8"/>
      <c r="E10" s="8"/>
      <c r="F10" s="8"/>
      <c r="G10" s="7"/>
      <c r="H10" s="7"/>
      <c r="I10" s="7"/>
      <c r="J10" s="7"/>
    </row>
    <row r="11" spans="1:10" ht="15.75" customHeight="1">
      <c r="A11" s="4"/>
      <c r="B11" s="5"/>
      <c r="C11" s="8"/>
      <c r="D11" s="8"/>
      <c r="E11" s="8"/>
      <c r="F11" s="8"/>
      <c r="G11" s="7"/>
      <c r="H11" s="6"/>
      <c r="I11" s="7"/>
      <c r="J11" s="7"/>
    </row>
    <row r="12" spans="1:10" ht="15.75" customHeight="1">
      <c r="A12" s="4"/>
      <c r="B12" s="5"/>
      <c r="C12" s="8"/>
      <c r="D12" s="8"/>
      <c r="E12" s="8"/>
      <c r="F12" s="8"/>
      <c r="G12" s="7"/>
      <c r="H12" s="6"/>
      <c r="I12" s="7"/>
      <c r="J12" s="7"/>
    </row>
    <row r="13" spans="1:10" ht="15.75" customHeight="1">
      <c r="A13" s="4"/>
      <c r="B13" s="5"/>
      <c r="C13" s="8"/>
      <c r="D13" s="8"/>
      <c r="E13" s="8"/>
      <c r="F13" s="8"/>
      <c r="G13" s="7"/>
      <c r="H13" s="7"/>
      <c r="I13" s="7"/>
      <c r="J13" s="7"/>
    </row>
    <row r="14" spans="1:10" ht="15.75" customHeight="1">
      <c r="A14" s="4"/>
      <c r="B14" s="5"/>
      <c r="C14" s="8"/>
      <c r="D14" s="8"/>
      <c r="E14" s="8"/>
      <c r="F14" s="8"/>
      <c r="G14" s="7"/>
      <c r="H14" s="7"/>
      <c r="I14" s="7"/>
      <c r="J14" s="7"/>
    </row>
    <row r="15" spans="1:10" ht="15.75" customHeight="1">
      <c r="A15" s="4"/>
      <c r="B15" s="5"/>
      <c r="C15" s="8"/>
      <c r="D15" s="8"/>
      <c r="E15" s="8"/>
      <c r="F15" s="8"/>
      <c r="G15" s="7"/>
      <c r="H15" s="7"/>
      <c r="I15" s="7"/>
      <c r="J15" s="7"/>
    </row>
    <row r="16" spans="1:10" ht="15.75" customHeight="1">
      <c r="A16" s="4"/>
      <c r="B16" s="5"/>
      <c r="C16" s="8"/>
      <c r="D16" s="8"/>
      <c r="E16" s="8"/>
      <c r="F16" s="8"/>
      <c r="G16" s="7"/>
      <c r="H16" s="7"/>
      <c r="I16" s="7"/>
      <c r="J16" s="7"/>
    </row>
    <row r="17" spans="1:10" ht="15.75" customHeight="1">
      <c r="A17" s="4"/>
      <c r="B17" s="5"/>
      <c r="C17" s="8"/>
      <c r="D17" s="8"/>
      <c r="E17" s="8"/>
      <c r="F17" s="8"/>
      <c r="G17" s="7"/>
      <c r="H17" s="7"/>
      <c r="I17" s="7"/>
      <c r="J17" s="7"/>
    </row>
    <row r="18" spans="1:10" ht="15.75" customHeight="1">
      <c r="A18" s="4"/>
      <c r="B18" s="5"/>
      <c r="C18" s="8"/>
      <c r="D18" s="8"/>
      <c r="E18" s="8"/>
      <c r="F18" s="8"/>
      <c r="G18" s="7"/>
      <c r="H18" s="7"/>
      <c r="I18" s="7"/>
      <c r="J18" s="7"/>
    </row>
    <row r="19" spans="1:10" ht="15.75" customHeight="1">
      <c r="A19" s="4"/>
      <c r="B19" s="5"/>
      <c r="C19" s="8"/>
      <c r="D19" s="8"/>
      <c r="E19" s="8"/>
      <c r="F19" s="8"/>
      <c r="G19" s="7"/>
      <c r="H19" s="7"/>
      <c r="I19" s="7"/>
      <c r="J19" s="7"/>
    </row>
    <row r="20" spans="1:10" ht="15.75" customHeight="1">
      <c r="A20" s="4"/>
      <c r="B20" s="5"/>
      <c r="C20" s="8"/>
      <c r="D20" s="8"/>
      <c r="E20" s="8"/>
      <c r="F20" s="8"/>
      <c r="G20" s="7"/>
      <c r="H20" s="7"/>
      <c r="I20" s="7"/>
      <c r="J20" s="7"/>
    </row>
    <row r="21" spans="1:10" ht="15.75" customHeight="1">
      <c r="A21" s="4"/>
      <c r="B21" s="5"/>
      <c r="C21" s="8"/>
      <c r="D21" s="8"/>
      <c r="E21" s="8"/>
      <c r="F21" s="8"/>
      <c r="G21" s="7"/>
      <c r="H21" s="7"/>
      <c r="I21" s="7"/>
      <c r="J21" s="7"/>
    </row>
    <row r="22" spans="1:10" ht="15.75" customHeight="1">
      <c r="A22" s="4"/>
      <c r="B22" s="5"/>
      <c r="C22" s="8"/>
      <c r="D22" s="8"/>
      <c r="E22" s="8"/>
      <c r="F22" s="8"/>
      <c r="G22" s="7"/>
      <c r="H22" s="7"/>
      <c r="I22" s="7"/>
      <c r="J22" s="7"/>
    </row>
    <row r="23" spans="1:10" ht="15.75" customHeight="1">
      <c r="A23" s="4"/>
      <c r="B23" s="5"/>
      <c r="C23" s="8"/>
      <c r="D23" s="8"/>
      <c r="E23" s="8"/>
      <c r="F23" s="8"/>
      <c r="G23" s="7"/>
      <c r="H23" s="7"/>
      <c r="I23" s="7"/>
      <c r="J23" s="7"/>
    </row>
    <row r="24" spans="1:10" ht="15.75" customHeight="1">
      <c r="A24" s="4"/>
      <c r="B24" s="5"/>
      <c r="C24" s="8"/>
      <c r="D24" s="8"/>
      <c r="E24" s="8"/>
      <c r="F24" s="8"/>
      <c r="G24" s="7"/>
      <c r="H24" s="7"/>
      <c r="I24" s="7"/>
      <c r="J24" s="7"/>
    </row>
    <row r="25" spans="1:10" ht="15.75" customHeight="1">
      <c r="A25" s="4"/>
      <c r="B25" s="5"/>
      <c r="C25" s="8"/>
      <c r="D25" s="8"/>
      <c r="E25" s="8"/>
      <c r="F25" s="8"/>
      <c r="G25" s="7"/>
      <c r="H25" s="7"/>
      <c r="I25" s="7"/>
      <c r="J25" s="7"/>
    </row>
    <row r="26" spans="1:10" ht="15.75" customHeight="1">
      <c r="A26" s="4"/>
      <c r="B26" s="5"/>
      <c r="C26" s="8"/>
      <c r="D26" s="8"/>
      <c r="E26" s="8"/>
      <c r="F26" s="8"/>
      <c r="G26" s="7"/>
      <c r="H26" s="7"/>
      <c r="I26" s="7"/>
      <c r="J26" s="7"/>
    </row>
    <row r="27" spans="1:10" ht="15.75" customHeight="1">
      <c r="A27" s="4"/>
      <c r="B27" s="5"/>
      <c r="C27" s="8"/>
      <c r="D27" s="8"/>
      <c r="E27" s="8"/>
      <c r="F27" s="8"/>
      <c r="G27" s="7"/>
      <c r="H27" s="7"/>
      <c r="I27" s="7"/>
      <c r="J27" s="7"/>
    </row>
    <row r="28" spans="1:10" ht="15.75" customHeight="1">
      <c r="A28" s="4"/>
      <c r="B28" s="5"/>
      <c r="C28" s="8"/>
      <c r="D28" s="8"/>
      <c r="E28" s="8"/>
      <c r="F28" s="8"/>
      <c r="G28" s="7"/>
      <c r="H28" s="7"/>
      <c r="I28" s="7"/>
      <c r="J28" s="7"/>
    </row>
    <row r="29" spans="1:10" ht="15.75" customHeight="1">
      <c r="A29" s="4"/>
      <c r="B29" s="5"/>
      <c r="C29" s="8"/>
      <c r="D29" s="8"/>
      <c r="E29" s="8"/>
      <c r="F29" s="8"/>
      <c r="G29" s="7"/>
      <c r="H29" s="7"/>
      <c r="I29" s="7"/>
      <c r="J29" s="7"/>
    </row>
    <row r="30" spans="1:10" ht="15.75" customHeight="1">
      <c r="A30" s="4"/>
      <c r="B30" s="5"/>
      <c r="C30" s="8"/>
      <c r="D30" s="8"/>
      <c r="E30" s="8"/>
      <c r="F30" s="8"/>
      <c r="G30" s="7"/>
      <c r="H30" s="7"/>
      <c r="I30" s="7"/>
      <c r="J30" s="7"/>
    </row>
    <row r="31" spans="1:10" ht="15.75" customHeight="1">
      <c r="A31" s="4"/>
      <c r="B31" s="5"/>
      <c r="C31" s="8"/>
      <c r="D31" s="8"/>
      <c r="E31" s="8"/>
      <c r="F31" s="8"/>
      <c r="G31" s="7"/>
      <c r="H31" s="7"/>
      <c r="I31" s="7"/>
      <c r="J31" s="7"/>
    </row>
    <row r="32" spans="1:10" ht="15.75" customHeight="1">
      <c r="A32" s="4"/>
      <c r="B32" s="5"/>
      <c r="C32" s="8"/>
      <c r="D32" s="8"/>
      <c r="E32" s="8"/>
      <c r="F32" s="8"/>
      <c r="G32" s="7"/>
      <c r="H32" s="7"/>
      <c r="I32" s="7"/>
      <c r="J32" s="7"/>
    </row>
    <row r="33" spans="1:10" ht="15.75" customHeight="1">
      <c r="A33" s="4"/>
      <c r="B33" s="5"/>
      <c r="C33" s="8"/>
      <c r="D33" s="8"/>
      <c r="E33" s="8"/>
      <c r="F33" s="8"/>
      <c r="G33" s="7"/>
      <c r="H33" s="7"/>
      <c r="I33" s="7"/>
      <c r="J33" s="7"/>
    </row>
    <row r="34" spans="1:10" ht="15.75" customHeight="1">
      <c r="A34" s="4"/>
      <c r="B34" s="5"/>
      <c r="C34" s="8"/>
      <c r="D34" s="8"/>
      <c r="E34" s="8"/>
      <c r="F34" s="8"/>
      <c r="G34" s="7"/>
      <c r="H34" s="7"/>
      <c r="I34" s="7"/>
      <c r="J34" s="7"/>
    </row>
    <row r="35" spans="1:10" ht="15.75" customHeight="1">
      <c r="A35" s="4"/>
      <c r="B35" s="5"/>
      <c r="C35" s="8"/>
      <c r="D35" s="8"/>
      <c r="E35" s="8"/>
      <c r="F35" s="8"/>
      <c r="G35" s="7"/>
      <c r="H35" s="7"/>
      <c r="I35" s="7"/>
      <c r="J35" s="7"/>
    </row>
    <row r="36" spans="1:10" ht="15.75" customHeight="1">
      <c r="A36" s="4"/>
      <c r="B36" s="5"/>
      <c r="C36" s="8"/>
      <c r="D36" s="8"/>
      <c r="E36" s="8"/>
      <c r="F36" s="8"/>
      <c r="G36" s="7"/>
      <c r="H36" s="7"/>
      <c r="I36" s="7"/>
      <c r="J36" s="7"/>
    </row>
    <row r="37" spans="1:10" ht="15.75" customHeight="1">
      <c r="A37" s="4"/>
      <c r="B37" s="5"/>
      <c r="C37" s="8"/>
      <c r="D37" s="8"/>
      <c r="E37" s="8"/>
      <c r="F37" s="8"/>
      <c r="G37" s="7"/>
      <c r="H37" s="7"/>
      <c r="I37" s="7"/>
      <c r="J37" s="7"/>
    </row>
    <row r="38" spans="1:10" ht="15.75" customHeight="1">
      <c r="A38" s="4"/>
      <c r="B38" s="5"/>
      <c r="C38" s="8"/>
      <c r="D38" s="8"/>
      <c r="E38" s="8"/>
      <c r="F38" s="8"/>
      <c r="G38" s="7"/>
      <c r="H38" s="7"/>
      <c r="I38" s="7"/>
      <c r="J38" s="7"/>
    </row>
    <row r="39" spans="1:10" ht="15.75" customHeight="1">
      <c r="A39" s="4"/>
      <c r="B39" s="5"/>
      <c r="C39" s="8"/>
      <c r="D39" s="8"/>
      <c r="E39" s="8"/>
      <c r="F39" s="8"/>
      <c r="G39" s="7"/>
      <c r="H39" s="7"/>
      <c r="I39" s="7"/>
      <c r="J39" s="7"/>
    </row>
    <row r="40" spans="1:10" ht="15.75" customHeight="1">
      <c r="A40" s="4"/>
      <c r="B40" s="5"/>
      <c r="C40" s="8"/>
      <c r="D40" s="8"/>
      <c r="E40" s="8"/>
      <c r="F40" s="8"/>
      <c r="G40" s="7"/>
      <c r="H40" s="7"/>
      <c r="I40" s="7"/>
      <c r="J40" s="7"/>
    </row>
    <row r="41" spans="1:10" ht="15.75" customHeight="1">
      <c r="A41" s="4"/>
      <c r="B41" s="5"/>
      <c r="C41" s="8"/>
      <c r="D41" s="8"/>
      <c r="E41" s="8"/>
      <c r="F41" s="8"/>
      <c r="G41" s="7"/>
      <c r="H41" s="7"/>
      <c r="I41" s="7"/>
      <c r="J41" s="7"/>
    </row>
    <row r="42" spans="1:10" ht="15.75" customHeight="1">
      <c r="A42" s="4"/>
      <c r="B42" s="5"/>
      <c r="C42" s="8"/>
      <c r="D42" s="8"/>
      <c r="E42" s="8"/>
      <c r="F42" s="8"/>
      <c r="G42" s="7"/>
      <c r="H42" s="7"/>
      <c r="I42" s="7"/>
      <c r="J42" s="7"/>
    </row>
    <row r="43" spans="1:10" ht="15.75" customHeight="1">
      <c r="A43" s="4"/>
      <c r="B43" s="5"/>
      <c r="C43" s="8"/>
      <c r="D43" s="8"/>
      <c r="E43" s="8"/>
      <c r="F43" s="8"/>
      <c r="G43" s="7"/>
      <c r="H43" s="7"/>
      <c r="I43" s="7"/>
      <c r="J43" s="7"/>
    </row>
    <row r="44" spans="1:10" ht="15.75" customHeight="1">
      <c r="A44" s="4"/>
      <c r="B44" s="5"/>
      <c r="C44" s="8"/>
      <c r="D44" s="8"/>
      <c r="E44" s="8"/>
      <c r="F44" s="8"/>
      <c r="G44" s="7"/>
      <c r="H44" s="7"/>
      <c r="I44" s="7"/>
      <c r="J44" s="7"/>
    </row>
    <row r="45" spans="1:10" ht="15.75" customHeight="1">
      <c r="A45" s="4"/>
      <c r="B45" s="5"/>
      <c r="C45" s="8"/>
      <c r="D45" s="8"/>
      <c r="E45" s="8"/>
      <c r="F45" s="8"/>
      <c r="G45" s="7"/>
      <c r="H45" s="7"/>
      <c r="I45" s="7"/>
      <c r="J45" s="7"/>
    </row>
    <row r="46" spans="1:10" ht="15.75" customHeight="1">
      <c r="A46" s="4"/>
      <c r="B46" s="5"/>
      <c r="C46" s="8"/>
      <c r="D46" s="8"/>
      <c r="E46" s="8"/>
      <c r="F46" s="8"/>
      <c r="G46" s="7"/>
      <c r="H46" s="7"/>
      <c r="I46" s="7"/>
      <c r="J46" s="7"/>
    </row>
    <row r="47" spans="1:10" ht="15.75" customHeight="1">
      <c r="A47" s="4"/>
      <c r="B47" s="5"/>
      <c r="C47" s="8"/>
      <c r="D47" s="8"/>
      <c r="E47" s="8"/>
      <c r="F47" s="8"/>
      <c r="G47" s="7"/>
      <c r="H47" s="7"/>
      <c r="I47" s="6"/>
      <c r="J47" s="6"/>
    </row>
    <row r="48" spans="1:10" ht="15.75" customHeight="1">
      <c r="A48" s="4"/>
      <c r="B48" s="5"/>
      <c r="C48" s="8"/>
      <c r="D48" s="8"/>
      <c r="E48" s="8"/>
      <c r="F48" s="8"/>
      <c r="G48" s="7"/>
      <c r="H48" s="7"/>
      <c r="I48" s="7"/>
      <c r="J48" s="7"/>
    </row>
    <row r="49" spans="1:10" ht="15.75" customHeight="1">
      <c r="A49" s="4"/>
      <c r="B49" s="5"/>
      <c r="C49" s="8"/>
      <c r="D49" s="8"/>
      <c r="E49" s="8"/>
      <c r="F49" s="8"/>
      <c r="G49" s="7"/>
      <c r="H49" s="7"/>
      <c r="I49" s="7"/>
      <c r="J49" s="7"/>
    </row>
    <row r="50" spans="1:10" ht="15.75" customHeight="1">
      <c r="A50" s="4"/>
      <c r="B50" s="5"/>
      <c r="C50" s="8"/>
      <c r="D50" s="8"/>
      <c r="E50" s="8"/>
      <c r="F50" s="8"/>
      <c r="G50" s="7"/>
      <c r="H50" s="7"/>
      <c r="I50" s="7"/>
      <c r="J50" s="7"/>
    </row>
    <row r="51" spans="1:10" ht="15.75" customHeight="1">
      <c r="A51" s="4"/>
      <c r="B51" s="5"/>
      <c r="C51" s="8"/>
      <c r="D51" s="8"/>
      <c r="E51" s="8"/>
      <c r="F51" s="8"/>
      <c r="G51" s="7"/>
      <c r="H51" s="7"/>
      <c r="I51" s="7"/>
      <c r="J51" s="7"/>
    </row>
    <row r="52" spans="1:10" ht="15.75" customHeight="1">
      <c r="A52" s="4"/>
      <c r="B52" s="5"/>
      <c r="C52" s="8"/>
      <c r="D52" s="8"/>
      <c r="E52" s="8"/>
      <c r="F52" s="8"/>
      <c r="G52" s="7"/>
      <c r="H52" s="7"/>
      <c r="I52" s="7"/>
      <c r="J52" s="7"/>
    </row>
    <row r="53" spans="1:10" ht="15.75" customHeight="1">
      <c r="A53" s="4"/>
      <c r="B53" s="5"/>
      <c r="C53" s="8"/>
      <c r="D53" s="8"/>
      <c r="E53" s="8"/>
      <c r="F53" s="8"/>
      <c r="G53" s="7"/>
      <c r="H53" s="7"/>
      <c r="I53" s="7"/>
      <c r="J53" s="7"/>
    </row>
    <row r="54" spans="1:10" ht="15.75" customHeight="1">
      <c r="A54" s="4"/>
      <c r="B54" s="5"/>
      <c r="C54" s="8"/>
      <c r="D54" s="8"/>
      <c r="E54" s="8"/>
      <c r="F54" s="8"/>
      <c r="G54" s="7"/>
      <c r="H54" s="7"/>
      <c r="I54" s="7"/>
      <c r="J54" s="7"/>
    </row>
    <row r="55" spans="1:10" ht="15.75" customHeight="1">
      <c r="A55" s="4"/>
      <c r="B55" s="5"/>
      <c r="C55" s="8"/>
      <c r="D55" s="8"/>
      <c r="E55" s="8"/>
      <c r="F55" s="8"/>
      <c r="G55" s="7"/>
      <c r="H55" s="7"/>
      <c r="I55" s="7"/>
      <c r="J55" s="7"/>
    </row>
    <row r="56" spans="1:10" ht="15.75" customHeight="1">
      <c r="A56" s="4"/>
      <c r="B56" s="5"/>
      <c r="C56" s="8"/>
      <c r="D56" s="8"/>
      <c r="E56" s="8"/>
      <c r="F56" s="8"/>
      <c r="G56" s="7"/>
      <c r="H56" s="7"/>
      <c r="I56" s="7"/>
      <c r="J56" s="7"/>
    </row>
    <row r="57" spans="1:10" ht="15.75" customHeight="1">
      <c r="A57" s="4"/>
      <c r="B57" s="5"/>
      <c r="C57" s="8"/>
      <c r="D57" s="8"/>
      <c r="E57" s="8"/>
      <c r="F57" s="8"/>
      <c r="G57" s="7"/>
      <c r="H57" s="7"/>
      <c r="I57" s="7"/>
      <c r="J57" s="7"/>
    </row>
    <row r="58" spans="1:10" ht="15.75" customHeight="1">
      <c r="A58" s="4"/>
      <c r="B58" s="5"/>
      <c r="C58" s="8"/>
      <c r="D58" s="8"/>
      <c r="E58" s="8"/>
      <c r="F58" s="8"/>
      <c r="G58" s="7"/>
      <c r="H58" s="7"/>
      <c r="I58" s="7"/>
      <c r="J58" s="7"/>
    </row>
    <row r="59" spans="1:10" ht="15.75" customHeight="1">
      <c r="A59" s="4"/>
      <c r="B59" s="5"/>
      <c r="C59" s="8"/>
      <c r="D59" s="8"/>
      <c r="E59" s="8"/>
      <c r="F59" s="8"/>
      <c r="G59" s="7"/>
      <c r="H59" s="6"/>
      <c r="I59" s="7"/>
      <c r="J59" s="7"/>
    </row>
    <row r="60" spans="1:10" ht="15.75" customHeight="1">
      <c r="A60" s="4"/>
      <c r="B60" s="5"/>
      <c r="C60" s="8"/>
      <c r="D60" s="8"/>
      <c r="E60" s="8"/>
      <c r="F60" s="8"/>
      <c r="G60" s="7"/>
      <c r="H60" s="6"/>
      <c r="I60" s="7"/>
      <c r="J60" s="7"/>
    </row>
    <row r="61" spans="1:10" ht="15.75" customHeight="1">
      <c r="A61" s="4"/>
      <c r="B61" s="5"/>
      <c r="C61" s="8"/>
      <c r="D61" s="8"/>
      <c r="E61" s="8"/>
      <c r="F61" s="8"/>
      <c r="G61" s="7"/>
      <c r="H61" s="6"/>
      <c r="I61" s="7"/>
      <c r="J61" s="7"/>
    </row>
    <row r="62" spans="1:10" ht="15.75" customHeight="1">
      <c r="A62" s="4"/>
      <c r="B62" s="5"/>
      <c r="C62" s="8"/>
      <c r="D62" s="8"/>
      <c r="E62" s="8"/>
      <c r="F62" s="8"/>
      <c r="G62" s="7"/>
      <c r="H62" s="6"/>
      <c r="I62" s="7"/>
      <c r="J62" s="7"/>
    </row>
    <row r="63" spans="1:10" ht="15.75" customHeight="1">
      <c r="A63" s="4"/>
      <c r="B63" s="5"/>
      <c r="C63" s="8"/>
      <c r="D63" s="8"/>
      <c r="E63" s="8"/>
      <c r="F63" s="8"/>
      <c r="G63" s="7"/>
      <c r="H63" s="6"/>
      <c r="I63" s="7"/>
      <c r="J63" s="7"/>
    </row>
    <row r="64" spans="1:10" ht="15.75" customHeight="1">
      <c r="A64" s="4"/>
      <c r="B64" s="5"/>
      <c r="C64" s="8"/>
      <c r="D64" s="8"/>
      <c r="E64" s="8"/>
      <c r="F64" s="8"/>
      <c r="G64" s="7"/>
      <c r="H64" s="6"/>
      <c r="I64" s="7"/>
      <c r="J64" s="7"/>
    </row>
    <row r="65" spans="1:10" ht="15.75" customHeight="1">
      <c r="A65" s="4"/>
      <c r="B65" s="5"/>
      <c r="C65" s="8"/>
      <c r="D65" s="8"/>
      <c r="E65" s="8"/>
      <c r="F65" s="8"/>
      <c r="G65" s="7"/>
      <c r="H65" s="6"/>
      <c r="I65" s="7"/>
      <c r="J65" s="7"/>
    </row>
    <row r="66" spans="1:10" ht="15.75" customHeight="1">
      <c r="A66" s="4"/>
      <c r="B66" s="5"/>
      <c r="C66" s="8"/>
      <c r="D66" s="8"/>
      <c r="E66" s="8"/>
      <c r="F66" s="8"/>
      <c r="G66" s="7"/>
      <c r="H66" s="6"/>
      <c r="I66" s="7"/>
      <c r="J66" s="7"/>
    </row>
    <row r="67" spans="1:10" ht="15.75" customHeight="1">
      <c r="A67" s="4"/>
      <c r="B67" s="5"/>
      <c r="C67" s="8"/>
      <c r="D67" s="8"/>
      <c r="E67" s="8"/>
      <c r="F67" s="8"/>
      <c r="G67" s="7"/>
      <c r="H67" s="6"/>
      <c r="I67" s="7"/>
      <c r="J67" s="7"/>
    </row>
    <row r="68" spans="1:10" ht="15.75" customHeight="1">
      <c r="A68" s="4"/>
      <c r="B68" s="5"/>
      <c r="C68" s="8"/>
      <c r="D68" s="8"/>
      <c r="E68" s="8"/>
      <c r="F68" s="8"/>
      <c r="G68" s="7"/>
      <c r="H68" s="6"/>
      <c r="I68" s="7"/>
      <c r="J68" s="7"/>
    </row>
    <row r="69" spans="1:10" ht="15.75" customHeight="1">
      <c r="A69" s="4"/>
      <c r="B69" s="5"/>
      <c r="C69" s="8"/>
      <c r="D69" s="8"/>
      <c r="E69" s="8"/>
      <c r="F69" s="8"/>
      <c r="G69" s="7"/>
      <c r="H69" s="6"/>
      <c r="I69" s="7"/>
      <c r="J69" s="7"/>
    </row>
    <row r="70" spans="1:10" ht="15.75" customHeight="1">
      <c r="A70" s="4"/>
      <c r="B70" s="5"/>
      <c r="C70" s="8"/>
      <c r="D70" s="8"/>
      <c r="E70" s="8"/>
      <c r="F70" s="8"/>
      <c r="G70" s="7"/>
      <c r="H70" s="6"/>
      <c r="I70" s="7"/>
      <c r="J70" s="7"/>
    </row>
    <row r="71" spans="1:10" ht="15.75" customHeight="1">
      <c r="A71" s="4"/>
      <c r="B71" s="5"/>
      <c r="C71" s="8"/>
      <c r="D71" s="8"/>
      <c r="E71" s="8"/>
      <c r="F71" s="8"/>
      <c r="G71" s="7"/>
      <c r="H71" s="6"/>
      <c r="I71" s="7"/>
      <c r="J71" s="7"/>
    </row>
    <row r="72" spans="1:10" ht="15.75" customHeight="1">
      <c r="A72" s="4"/>
      <c r="B72" s="5"/>
      <c r="C72" s="8"/>
      <c r="D72" s="8"/>
      <c r="E72" s="8"/>
      <c r="F72" s="8"/>
      <c r="G72" s="7"/>
      <c r="H72" s="6"/>
      <c r="I72" s="7"/>
      <c r="J72" s="7"/>
    </row>
    <row r="73" spans="1:10" ht="15.75" customHeight="1">
      <c r="A73" s="4"/>
      <c r="B73" s="5"/>
      <c r="C73" s="8"/>
      <c r="D73" s="8"/>
      <c r="E73" s="8"/>
      <c r="F73" s="8"/>
      <c r="G73" s="7"/>
      <c r="H73" s="6"/>
      <c r="I73" s="7"/>
      <c r="J73" s="7"/>
    </row>
    <row r="74" spans="1:10" ht="15.75" customHeight="1">
      <c r="A74" s="4"/>
      <c r="B74" s="5"/>
      <c r="C74" s="8"/>
      <c r="D74" s="8"/>
      <c r="E74" s="8"/>
      <c r="F74" s="8"/>
      <c r="G74" s="7"/>
      <c r="H74" s="6"/>
      <c r="I74" s="7"/>
      <c r="J74" s="7"/>
    </row>
    <row r="75" spans="1:10" ht="15.75" customHeight="1">
      <c r="A75" s="4"/>
      <c r="B75" s="5"/>
      <c r="C75" s="8"/>
      <c r="D75" s="8"/>
      <c r="E75" s="8"/>
      <c r="F75" s="8"/>
      <c r="G75" s="7"/>
      <c r="H75" s="6"/>
      <c r="I75" s="7"/>
      <c r="J75" s="7"/>
    </row>
    <row r="76" spans="1:10" ht="15.75" customHeight="1">
      <c r="A76" s="4"/>
      <c r="B76" s="5"/>
      <c r="C76" s="8"/>
      <c r="D76" s="8"/>
      <c r="E76" s="8"/>
      <c r="F76" s="8"/>
      <c r="G76" s="7"/>
      <c r="H76" s="7"/>
      <c r="I76" s="6"/>
      <c r="J76" s="6"/>
    </row>
    <row r="77" spans="1:10" ht="15.75" customHeight="1">
      <c r="A77" s="4"/>
      <c r="B77" s="5"/>
      <c r="C77" s="8"/>
      <c r="D77" s="8"/>
      <c r="E77" s="8"/>
      <c r="F77" s="8"/>
      <c r="G77" s="7"/>
      <c r="H77" s="7"/>
      <c r="I77" s="6"/>
      <c r="J77" s="6"/>
    </row>
    <row r="78" spans="1:10" ht="15.75" customHeight="1">
      <c r="A78" s="4"/>
      <c r="B78" s="5"/>
      <c r="C78" s="8"/>
      <c r="D78" s="8"/>
      <c r="E78" s="8"/>
      <c r="F78" s="8"/>
      <c r="G78" s="7"/>
      <c r="H78" s="7"/>
      <c r="I78" s="7"/>
      <c r="J78" s="7"/>
    </row>
    <row r="79" spans="1:10" ht="15.75" customHeight="1">
      <c r="A79" s="4"/>
      <c r="B79" s="5"/>
      <c r="C79" s="8"/>
      <c r="D79" s="8"/>
      <c r="E79" s="8"/>
      <c r="F79" s="8"/>
      <c r="G79" s="7"/>
      <c r="H79" s="7"/>
      <c r="I79" s="6"/>
      <c r="J79" s="6"/>
    </row>
    <row r="80" spans="1:10" ht="15.75" customHeight="1">
      <c r="A80" s="4"/>
      <c r="B80" s="5"/>
      <c r="C80" s="8"/>
      <c r="D80" s="8"/>
      <c r="E80" s="8"/>
      <c r="F80" s="8"/>
      <c r="G80" s="7"/>
      <c r="H80" s="7"/>
      <c r="I80" s="6"/>
      <c r="J80" s="6"/>
    </row>
    <row r="81" spans="1:10" ht="15.75" customHeight="1">
      <c r="A81" s="4"/>
      <c r="B81" s="5"/>
      <c r="C81" s="8"/>
      <c r="D81" s="8"/>
      <c r="E81" s="8"/>
      <c r="F81" s="8"/>
      <c r="G81" s="7"/>
      <c r="H81" s="7"/>
      <c r="I81" s="7"/>
      <c r="J81" s="7"/>
    </row>
    <row r="82" spans="1:10" ht="15.75" customHeight="1">
      <c r="A82" s="4"/>
      <c r="B82" s="5"/>
      <c r="C82" s="8"/>
      <c r="D82" s="8"/>
      <c r="E82" s="8"/>
      <c r="F82" s="8"/>
      <c r="G82" s="7"/>
      <c r="H82" s="7"/>
      <c r="I82" s="7"/>
      <c r="J82" s="7"/>
    </row>
    <row r="83" spans="1:10" ht="15.75" customHeight="1">
      <c r="A83" s="4"/>
      <c r="B83" s="5"/>
      <c r="C83" s="8"/>
      <c r="D83" s="8"/>
      <c r="E83" s="8"/>
      <c r="F83" s="8"/>
      <c r="G83" s="7"/>
      <c r="H83" s="7"/>
      <c r="I83" s="7"/>
      <c r="J83" s="7"/>
    </row>
    <row r="84" spans="1:10" ht="15.75" customHeight="1">
      <c r="A84" s="4"/>
      <c r="B84" s="5"/>
      <c r="C84" s="8"/>
      <c r="D84" s="8"/>
      <c r="E84" s="8"/>
      <c r="F84" s="8"/>
      <c r="G84" s="7"/>
      <c r="H84" s="7"/>
      <c r="I84" s="6"/>
      <c r="J84" s="6"/>
    </row>
    <row r="85" spans="1:10" ht="15.75" customHeight="1"/>
    <row r="86" spans="1:10" ht="15.75" customHeight="1"/>
    <row r="87" spans="1:10" ht="15.75" customHeight="1"/>
    <row r="88" spans="1:10" ht="15.75" customHeight="1"/>
    <row r="89" spans="1:10" ht="15.75" customHeight="1"/>
    <row r="90" spans="1:10" ht="15.75" customHeight="1"/>
    <row r="91" spans="1:10" ht="15.75" customHeight="1"/>
    <row r="92" spans="1:10" ht="15.75" customHeight="1"/>
    <row r="93" spans="1:10" ht="15.75" customHeight="1"/>
    <row r="94" spans="1:10" ht="15.75" customHeight="1"/>
    <row r="95" spans="1:10" ht="15.75" customHeight="1"/>
    <row r="96" spans="1:10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groupe</vt:lpstr>
      <vt:lpstr>liste des taches</vt:lpstr>
      <vt:lpstr>Recap</vt:lpstr>
      <vt:lpstr>avancement</vt:lpstr>
      <vt:lpstr>detail_avancement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NATIORA</cp:lastModifiedBy>
  <dcterms:created xsi:type="dcterms:W3CDTF">2026-02-10T08:54:00Z</dcterms:created>
  <dcterms:modified xsi:type="dcterms:W3CDTF">2026-03-29T18:27:18Z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C138FFA014CC40B6B82A597F87CA1A7D_12</vt:lpwstr>
  </property>
  <property fmtid="{D5CDD505-2E9C-101B-9397-08002B2CF9AE}" pid="3" name="KSOProductBuildVer">
    <vt:lpwstr>1036-12.9.0.21549</vt:lpwstr>
  </property>
</Properties>
</file>