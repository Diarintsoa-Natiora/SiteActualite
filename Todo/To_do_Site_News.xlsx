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TIORA\Desktop\S6\MrRojo\TP\SEO\SiteActualite\Todo\"/>
    </mc:Choice>
  </mc:AlternateContent>
  <xr:revisionPtr revIDLastSave="0" documentId="13_ncr:1_{1CA4813A-E41C-40B5-A7DF-69EE4332BD8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K23" i="2" s="1"/>
  <c r="J22" i="2"/>
  <c r="K22" i="2" s="1"/>
  <c r="J10" i="2"/>
  <c r="K10" i="2" s="1"/>
  <c r="J3" i="2"/>
  <c r="K3" i="2" s="1"/>
  <c r="B2" i="4"/>
  <c r="A2" i="4"/>
  <c r="J25" i="2"/>
  <c r="K25" i="2" s="1"/>
  <c r="J24" i="2"/>
  <c r="K24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9" i="2"/>
  <c r="K9" i="2" s="1"/>
  <c r="J8" i="2"/>
  <c r="K8" i="2" s="1"/>
  <c r="J7" i="2"/>
  <c r="K7" i="2" s="1"/>
  <c r="J6" i="2"/>
  <c r="K6" i="2" s="1"/>
  <c r="J5" i="2"/>
  <c r="K4" i="2"/>
  <c r="J2" i="2"/>
  <c r="K2" i="2" s="1"/>
  <c r="C2" i="4" l="1"/>
  <c r="C3" i="4" s="1"/>
  <c r="K5" i="2"/>
  <c r="D2" i="4" l="1"/>
  <c r="B12" i="3" s="1"/>
  <c r="E2" i="4"/>
</calcChain>
</file>

<file path=xl/sharedStrings.xml><?xml version="1.0" encoding="utf-8"?>
<sst xmlns="http://schemas.openxmlformats.org/spreadsheetml/2006/main" count="165" uniqueCount="81">
  <si>
    <t>ETU003252</t>
  </si>
  <si>
    <t>ANDRIANASOLO Diarintsoa Natiora</t>
  </si>
  <si>
    <t>ETU003777</t>
  </si>
  <si>
    <t>ANJARANANTENAINA Kantonjoary Zava Fifaliana</t>
  </si>
  <si>
    <t>Ligne</t>
  </si>
  <si>
    <t>Catégorie</t>
  </si>
  <si>
    <t>Module</t>
  </si>
  <si>
    <t>Taches</t>
  </si>
  <si>
    <t>Page</t>
  </si>
  <si>
    <t>Type</t>
  </si>
  <si>
    <t>Qui</t>
  </si>
  <si>
    <t>Estimation</t>
  </si>
  <si>
    <t>Temps passé</t>
  </si>
  <si>
    <t>Reste à faire</t>
  </si>
  <si>
    <t>Avancement</t>
  </si>
  <si>
    <t>Docker</t>
  </si>
  <si>
    <t>setup</t>
  </si>
  <si>
    <t>SUM of Estimation</t>
  </si>
  <si>
    <t>SUM of Temps passé</t>
  </si>
  <si>
    <t>SUM of Reste à faire</t>
  </si>
  <si>
    <t>estimation total</t>
  </si>
  <si>
    <t>temps passé total</t>
  </si>
  <si>
    <t>reste à faire total</t>
  </si>
  <si>
    <t>avancement</t>
  </si>
  <si>
    <t>dépassement</t>
  </si>
  <si>
    <t>heure</t>
  </si>
  <si>
    <t/>
  </si>
  <si>
    <t>Conception</t>
  </si>
  <si>
    <t>Base de donnee</t>
  </si>
  <si>
    <t>BDD</t>
  </si>
  <si>
    <t>Core</t>
  </si>
  <si>
    <t>orchestration</t>
  </si>
  <si>
    <t>docker-file/docker-yml</t>
  </si>
  <si>
    <t>Structuration</t>
  </si>
  <si>
    <t>Authentification</t>
  </si>
  <si>
    <t>metier</t>
  </si>
  <si>
    <t>Bakc-office</t>
  </si>
  <si>
    <t>Back-office</t>
  </si>
  <si>
    <t>SignIn.php</t>
  </si>
  <si>
    <t>Login.php</t>
  </si>
  <si>
    <t>Integration</t>
  </si>
  <si>
    <t>Mettre en place le système d'authentifiaction</t>
  </si>
  <si>
    <t>mettre en place la strucutre du projet</t>
  </si>
  <si>
    <t>mettre en place l'environement Docker</t>
  </si>
  <si>
    <t>Inscription dans le site news</t>
  </si>
  <si>
    <t>connexion dans le site news</t>
  </si>
  <si>
    <t>Documentation</t>
  </si>
  <si>
    <t>TinyDocs</t>
  </si>
  <si>
    <t>Comprendre le concept de TinyDocs</t>
  </si>
  <si>
    <t>Orientation</t>
  </si>
  <si>
    <t>verifier que la base de donnee  est bien adapter</t>
  </si>
  <si>
    <t>CRUD Article</t>
  </si>
  <si>
    <t>Créer une formulaire pour Ajouter un article (les champs necessaires)</t>
  </si>
  <si>
    <t>create_article.php</t>
  </si>
  <si>
    <t>Integration TinyDocs</t>
  </si>
  <si>
    <t>Gerer l'envoi du formulaire</t>
  </si>
  <si>
    <t>affichage</t>
  </si>
  <si>
    <t>dependance</t>
  </si>
  <si>
    <t>Insertion dans la base</t>
  </si>
  <si>
    <t>generation du slug (amin'ilay SEO)</t>
  </si>
  <si>
    <t>persistance</t>
  </si>
  <si>
    <t>Front-office</t>
  </si>
  <si>
    <t>Récupérer et afficher l'article</t>
  </si>
  <si>
    <t>article.php</t>
  </si>
  <si>
    <t>Mettre en place URL SEO(ao amin'ilay htaccess)</t>
  </si>
  <si>
    <t>mettre en fin le upload image</t>
  </si>
  <si>
    <t>upload.php</t>
  </si>
  <si>
    <t>Configuration Tinydocs et type Mimme</t>
  </si>
  <si>
    <t>Back-office/Front-office</t>
  </si>
  <si>
    <t>Effectuer un test complet :créer article,checker html dans la base,afficher article,tester les images,tester URL seo</t>
  </si>
  <si>
    <t>Obtenir l'API key,Ajouter le script CDN et initialiser l'editeur</t>
  </si>
  <si>
    <t>faire la conception du projet sans SGBDR</t>
  </si>
  <si>
    <t>faire la conception du projet SGBDR</t>
  </si>
  <si>
    <t>Optimisation</t>
  </si>
  <si>
    <t>Doc-technique</t>
  </si>
  <si>
    <t>crud_article.php</t>
  </si>
  <si>
    <t>Grand Total</t>
  </si>
  <si>
    <t>redaction des guides et documentation du projet</t>
  </si>
  <si>
    <t>documention,pdf</t>
  </si>
  <si>
    <t>Gestion des artciles (update + delete )</t>
  </si>
  <si>
    <t>Optimisation du site Compression des images,amelioration des strucutres HTML,generalisation des metiers,responsive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</si>
</sst>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0.0%"/>
  </numFmts>
  <fonts count="9">
    <font>
      <sz val="10"/>
      <color rgb="FF000000"/>
      <name val="Arial"/>
      <charset val="134"/>
      <scheme val="minor"/>
    </font>
    <font>
      <sz val="12"/>
      <color theme="1"/>
      <name val="Aptos Narrow"/>
      <charset val="134"/>
    </font>
    <font>
      <sz val="10"/>
      <color theme="1"/>
      <name val="Arial"/>
      <charset val="134"/>
    </font>
    <font>
      <b/>
      <sz val="12"/>
      <color theme="1"/>
      <name val="Aptos Narrow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Liberation Serif"/>
      <charset val="134"/>
    </font>
    <font>
      <sz val="8"/>
      <color theme="1"/>
      <name val="Arial"/>
      <charset val="134"/>
    </font>
    <font>
      <sz val="8"/>
      <color theme="1"/>
      <name val="Liberation Serif"/>
      <charset val="134"/>
    </font>
  </fonts>
  <fills count="5">
    <fill>
      <patternFill patternType="none"/>
    </fill>
    <fill>
      <patternFill patternType="gray125"/>
    </fill>
    <fill>
      <patternFill patternType="solid">
        <fgColor rgb="FF95DCF7"/>
        <bgColor rgb="FF95DCF7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1" fontId="1" fillId="0" borderId="0" xfId="0" applyNumberFormat="1" applyFont="1" applyAlignment="1">
      <alignment horizontal="right"/>
    </xf>
    <xf numFmtId="0" fontId="4" fillId="3" borderId="0" xfId="0" applyFont="1" applyFill="1"/>
    <xf numFmtId="10" fontId="4" fillId="3" borderId="0" xfId="0" applyNumberFormat="1" applyFont="1" applyFill="1"/>
    <xf numFmtId="0" fontId="5" fillId="4" borderId="1" xfId="0" applyFont="1" applyFill="1" applyBorder="1"/>
    <xf numFmtId="0" fontId="6" fillId="4" borderId="1" xfId="0" applyFont="1" applyFill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0" fontId="8" fillId="0" borderId="1" xfId="0" applyFont="1" applyBorder="1"/>
    <xf numFmtId="165" fontId="4" fillId="0" borderId="1" xfId="0" applyNumberFormat="1" applyFont="1" applyBorder="1" applyAlignment="1">
      <alignment horizontal="right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10" xfId="0" applyFont="1" applyBorder="1"/>
    <xf numFmtId="0" fontId="0" fillId="0" borderId="11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11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www.wps.cn/officeDocument/2023/relationships/customStorage" Target="customStorage/customStorage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TIORA" refreshedDate="46112.39881712963" refreshedVersion="8" recordCount="24" xr:uid="{00000000-000A-0000-FFFF-FFFF00000000}">
  <cacheSource type="worksheet">
    <worksheetSource ref="B1:K25" sheet="liste des taches"/>
  </cacheSource>
  <cacheFields count="10">
    <cacheField name="Catégorie" numFmtId="0">
      <sharedItems/>
    </cacheField>
    <cacheField name="Module" numFmtId="0">
      <sharedItems/>
    </cacheField>
    <cacheField name="Taches" numFmtId="0">
      <sharedItems/>
    </cacheField>
    <cacheField name="Page" numFmtId="0">
      <sharedItems containsBlank="1"/>
    </cacheField>
    <cacheField name="Type" numFmtId="0">
      <sharedItems/>
    </cacheField>
    <cacheField name="Qui" numFmtId="0">
      <sharedItems containsBlank="1" count="5">
        <s v="ETU003252"/>
        <s v="ETU003777"/>
        <m u="1"/>
        <s v="ETU003329" u="1"/>
        <s v="ETU003289" u="1"/>
      </sharedItems>
    </cacheField>
    <cacheField name="Estimation" numFmtId="0">
      <sharedItems containsSemiMixedTypes="0" containsString="0" containsNumber="1" containsInteger="1" minValue="5" maxValue="30"/>
    </cacheField>
    <cacheField name="Temps passé" numFmtId="0">
      <sharedItems containsSemiMixedTypes="0" containsString="0" containsNumber="1" containsInteger="1" minValue="0" maxValue="30"/>
    </cacheField>
    <cacheField name="Reste à faire" numFmtId="0">
      <sharedItems containsSemiMixedTypes="0" containsString="0" containsNumber="1" containsInteger="1" minValue="0" maxValue="30"/>
    </cacheField>
    <cacheField name="Avancement" numFmtId="165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onception"/>
    <s v="Base de donnee"/>
    <s v="faire la conception du projet sans SGBDR"/>
    <m/>
    <s v="BDD"/>
    <x v="0"/>
    <n v="20"/>
    <n v="20"/>
    <n v="0"/>
    <n v="1"/>
  </r>
  <r>
    <s v="Conception"/>
    <s v="Base de donnee"/>
    <s v="faire la conception du projet SGBDR"/>
    <m/>
    <s v="BDD"/>
    <x v="1"/>
    <n v="20"/>
    <n v="20"/>
    <n v="0"/>
    <n v="1"/>
  </r>
  <r>
    <s v="Structuration"/>
    <s v="Core"/>
    <s v="mettre en place la strucutre du projet"/>
    <m/>
    <s v="setup"/>
    <x v="0"/>
    <n v="30"/>
    <n v="30"/>
    <n v="0"/>
    <n v="1"/>
  </r>
  <r>
    <s v="orchestration"/>
    <s v="Docker"/>
    <s v="mettre en place l'environement Docker"/>
    <s v="docker-file/docker-yml"/>
    <s v="setup"/>
    <x v="1"/>
    <n v="25"/>
    <n v="25"/>
    <n v="0"/>
    <n v="1"/>
  </r>
  <r>
    <s v="Authentification"/>
    <s v="Back-office"/>
    <s v="Inscription dans le site news"/>
    <s v="SignIn.php"/>
    <s v="metier"/>
    <x v="0"/>
    <n v="20"/>
    <n v="20"/>
    <n v="0"/>
    <n v="1"/>
  </r>
  <r>
    <s v="Authentification"/>
    <s v="Bakc-office"/>
    <s v="connexion dans le site news"/>
    <s v="Login.php"/>
    <s v="metier"/>
    <x v="0"/>
    <n v="15"/>
    <n v="15"/>
    <n v="0"/>
    <n v="1"/>
  </r>
  <r>
    <s v="Authentification"/>
    <s v="Integration"/>
    <s v="Mettre en place le système d'authentifiaction"/>
    <s v="Login.php"/>
    <s v="Integration"/>
    <x v="0"/>
    <n v="20"/>
    <n v="20"/>
    <n v="0"/>
    <n v="1"/>
  </r>
  <r>
    <s v="Documentation"/>
    <s v="TinyDocs"/>
    <s v="Comprendre le concept de TinyDocs"/>
    <m/>
    <s v="Orientation"/>
    <x v="0"/>
    <n v="5"/>
    <n v="5"/>
    <n v="0"/>
    <n v="1"/>
  </r>
  <r>
    <s v="Documentation"/>
    <s v="TinyDocs"/>
    <s v="Comprendre le concept de TinyDocs"/>
    <m/>
    <s v="Orientation"/>
    <x v="1"/>
    <n v="5"/>
    <n v="5"/>
    <n v="0"/>
    <n v="1"/>
  </r>
  <r>
    <s v="Conception"/>
    <s v="Base de donnee"/>
    <s v="verifier que la base de donnee  est bien adapter"/>
    <m/>
    <s v="BDD"/>
    <x v="1"/>
    <n v="5"/>
    <n v="5"/>
    <n v="0"/>
    <n v="1"/>
  </r>
  <r>
    <s v="CRUD Article"/>
    <s v="Back-office"/>
    <s v="Créer une formulaire pour Ajouter un article (les champs necessaires)"/>
    <s v="create_article.php"/>
    <s v="affichage"/>
    <x v="0"/>
    <n v="15"/>
    <n v="15"/>
    <n v="0"/>
    <n v="1"/>
  </r>
  <r>
    <s v="Integration TinyDocs"/>
    <s v="Back-office"/>
    <s v="Obtenir l'API key,Ajouter le script CDN et initialiser l'editeur"/>
    <s v="create_article.php"/>
    <s v="dependance"/>
    <x v="0"/>
    <n v="10"/>
    <n v="10"/>
    <n v="0"/>
    <n v="1"/>
  </r>
  <r>
    <s v="CRUD Article"/>
    <s v="Back-office"/>
    <s v="Gerer l'envoi du formulaire"/>
    <s v="create_article.php"/>
    <s v="metier"/>
    <x v="0"/>
    <n v="15"/>
    <n v="15"/>
    <n v="0"/>
    <n v="1"/>
  </r>
  <r>
    <s v="CRUD Article"/>
    <s v="Back-office"/>
    <s v="generation du slug (amin'ilay SEO)"/>
    <s v="create_article.php"/>
    <s v="metier"/>
    <x v="0"/>
    <n v="15"/>
    <n v="15"/>
    <n v="0"/>
    <n v="1"/>
  </r>
  <r>
    <s v="CRUD Article"/>
    <s v="Back-office"/>
    <s v="Insertion dans la base"/>
    <s v="create_article.php"/>
    <s v="persistance"/>
    <x v="1"/>
    <n v="20"/>
    <n v="20"/>
    <n v="0"/>
    <n v="1"/>
  </r>
  <r>
    <s v="CRUD Article"/>
    <s v="Front-office"/>
    <s v="Récupérer et afficher l'article"/>
    <s v="article.php"/>
    <s v="affichage"/>
    <x v="1"/>
    <n v="20"/>
    <n v="20"/>
    <n v="0"/>
    <n v="1"/>
  </r>
  <r>
    <s v="CRUD Article"/>
    <s v="Front-office"/>
    <s v="Mettre en place URL SEO(ao amin'ilay htaccess)"/>
    <s v="article.php"/>
    <s v="Integration"/>
    <x v="0"/>
    <n v="30"/>
    <n v="30"/>
    <n v="0"/>
    <n v="1"/>
  </r>
  <r>
    <s v="CRUD Article"/>
    <s v="Back-office"/>
    <s v="mettre en fin le upload image"/>
    <s v="upload.php"/>
    <s v="affichage"/>
    <x v="0"/>
    <n v="10"/>
    <n v="10"/>
    <n v="0"/>
    <n v="1"/>
  </r>
  <r>
    <s v="CRUD Article"/>
    <s v="Back-office"/>
    <s v="Configuration Tinydocs et type Mimme"/>
    <s v="upload.php"/>
    <s v="metier"/>
    <x v="1"/>
    <n v="20"/>
    <n v="20"/>
    <n v="0"/>
    <n v="1"/>
  </r>
  <r>
    <s v="CRUD Article"/>
    <s v="Back-office/Front-office"/>
    <s v="Effectuer un test complet :créer article,checker html dans la base,afficher article,tester les images,tester URL seo"/>
    <m/>
    <s v="Integration"/>
    <x v="0"/>
    <n v="5"/>
    <n v="5"/>
    <n v="0"/>
    <n v="1"/>
  </r>
  <r>
    <s v="CRUD Article"/>
    <s v="Back-office/Front-office"/>
    <s v="Effectuer un test complet :créer article,checker html dans la base,afficher article,tester les images,tester URL seo"/>
    <m/>
    <s v="Integration"/>
    <x v="1"/>
    <n v="5"/>
    <n v="5"/>
    <n v="0"/>
    <n v="1"/>
  </r>
  <r>
    <s v="Optimisation"/>
    <s v="Back-office/Front-office"/>
    <s v="Optimisation du site Compression des images,amelioration des strucutres HTML,generalisation des metiers"/>
    <m/>
    <s v="Optimisation"/>
    <x v="1"/>
    <n v="30"/>
    <n v="0"/>
    <n v="30"/>
    <n v="0"/>
  </r>
  <r>
    <s v="Documentation"/>
    <s v="Doc-technique"/>
    <s v="redaction des guides et documentation du projet"/>
    <s v="documention,pdf"/>
    <s v="Documentation"/>
    <x v="1"/>
    <n v="30"/>
    <n v="30"/>
    <n v="0"/>
    <n v="1"/>
  </r>
  <r>
    <s v="CRUD Article"/>
    <s v="Back-office"/>
    <s v="Gestion des artciles (update + delete )"/>
    <s v="crud_article.php"/>
    <s v="metier"/>
    <x v="1"/>
    <n v="20"/>
    <n v="0"/>
    <n v="2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1" dataCaption="" updatedVersion="8" compact="0" compactData="0">
  <location ref="A1:D5" firstHeaderRow="1" firstDataRow="2" firstDataCol="1"/>
  <pivotFields count="10"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compact="0" outline="0" multipleItemSelectionAllowed="1" showAll="0"/>
    <pivotField axis="axisRow" compact="0" outline="0" multipleItemSelectionAllowed="1" showAll="0">
      <items count="6">
        <item x="0"/>
        <item h="1" m="1" x="4"/>
        <item h="1" m="1" x="3"/>
        <item x="1"/>
        <item h="1" m="1" x="2"/>
        <item t="default"/>
      </items>
    </pivotField>
    <pivotField dataField="1" compact="0" outline="0" multipleItemSelectionAllowed="1" showAll="0"/>
    <pivotField dataField="1" compact="0" outline="0" multipleItemSelectionAllowed="1" showAll="0"/>
    <pivotField dataField="1" compact="0" outline="0" multipleItemSelectionAllowed="1" showAll="0"/>
    <pivotField compact="0" numFmtId="165" outline="0" multipleItemSelectionAllowed="1" showAll="0"/>
  </pivotFields>
  <rowFields count="1">
    <field x="5"/>
  </rowFields>
  <rowItems count="3"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 baseItem="0"/>
    <dataField name="SUM of Temps passé" fld="7" baseField="0" baseItem="0"/>
    <dataField name="SUM of Reste à faire" fld="8" baseField="0" baseItem="0"/>
  </dataFields>
  <pivotTableStyleInfo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8"/>
  <sheetViews>
    <sheetView workbookViewId="0">
      <selection activeCell="A3" sqref="A3"/>
    </sheetView>
  </sheetViews>
  <sheetFormatPr defaultColWidth="12.5703125" defaultRowHeight="15" customHeight="1"/>
  <cols>
    <col min="1" max="1" width="12.5703125" customWidth="1"/>
    <col min="2" max="2" width="42.85546875" customWidth="1"/>
    <col min="3" max="6" width="12.57031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1" t="s">
        <v>2</v>
      </c>
      <c r="B2" s="1" t="s">
        <v>3</v>
      </c>
    </row>
    <row r="3" spans="1:2" ht="15.75" customHeight="1"/>
    <row r="4" spans="1:2" ht="15.75" customHeight="1"/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4"/>
  <sheetViews>
    <sheetView topLeftCell="A12" workbookViewId="0">
      <selection activeCell="I24" sqref="I24"/>
    </sheetView>
  </sheetViews>
  <sheetFormatPr defaultColWidth="12.5703125" defaultRowHeight="15" customHeight="1"/>
  <cols>
    <col min="1" max="1" width="5.85546875" customWidth="1"/>
    <col min="2" max="2" width="19" customWidth="1"/>
    <col min="3" max="3" width="18" customWidth="1"/>
    <col min="4" max="4" width="38.42578125" customWidth="1"/>
    <col min="5" max="5" width="16.42578125" customWidth="1"/>
    <col min="6" max="6" width="12.5703125" customWidth="1"/>
  </cols>
  <sheetData>
    <row r="1" spans="1:11" ht="15.75" customHeight="1">
      <c r="A1" s="9" t="s">
        <v>4</v>
      </c>
      <c r="B1" s="9" t="s">
        <v>5</v>
      </c>
      <c r="C1" s="9" t="s">
        <v>6</v>
      </c>
      <c r="D1" s="10" t="s">
        <v>7</v>
      </c>
      <c r="E1" s="9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14</v>
      </c>
    </row>
    <row r="2" spans="1:11" ht="15.75" customHeight="1">
      <c r="A2" s="11">
        <v>1</v>
      </c>
      <c r="B2" s="1" t="s">
        <v>27</v>
      </c>
      <c r="C2" s="12" t="s">
        <v>28</v>
      </c>
      <c r="D2" s="13" t="s">
        <v>71</v>
      </c>
      <c r="E2" s="1"/>
      <c r="F2" s="13" t="s">
        <v>29</v>
      </c>
      <c r="G2" s="1" t="s">
        <v>0</v>
      </c>
      <c r="H2" s="11">
        <v>20</v>
      </c>
      <c r="I2" s="11">
        <v>20</v>
      </c>
      <c r="J2" s="11">
        <f>H2-I2</f>
        <v>0</v>
      </c>
      <c r="K2" s="14">
        <f t="shared" ref="K2:K25" si="0">I2/(I2+J2)</f>
        <v>1</v>
      </c>
    </row>
    <row r="3" spans="1:11" ht="15.75" customHeight="1">
      <c r="A3" s="11">
        <v>2</v>
      </c>
      <c r="B3" s="1" t="s">
        <v>27</v>
      </c>
      <c r="C3" s="12" t="s">
        <v>28</v>
      </c>
      <c r="D3" s="13" t="s">
        <v>72</v>
      </c>
      <c r="E3" s="1"/>
      <c r="F3" s="13" t="s">
        <v>29</v>
      </c>
      <c r="G3" s="1" t="s">
        <v>2</v>
      </c>
      <c r="H3" s="11">
        <v>20</v>
      </c>
      <c r="I3" s="11">
        <v>20</v>
      </c>
      <c r="J3" s="11">
        <f>H3-I3</f>
        <v>0</v>
      </c>
      <c r="K3" s="14">
        <f t="shared" ref="K3" si="1">I3/(I3+J3)</f>
        <v>1</v>
      </c>
    </row>
    <row r="4" spans="1:11" ht="15.75" customHeight="1">
      <c r="A4" s="11">
        <v>3</v>
      </c>
      <c r="B4" s="1" t="s">
        <v>33</v>
      </c>
      <c r="C4" s="12" t="s">
        <v>30</v>
      </c>
      <c r="D4" s="13" t="s">
        <v>42</v>
      </c>
      <c r="E4" s="1"/>
      <c r="F4" s="13" t="s">
        <v>16</v>
      </c>
      <c r="G4" s="1" t="s">
        <v>0</v>
      </c>
      <c r="H4" s="11">
        <v>30</v>
      </c>
      <c r="I4" s="11">
        <v>30</v>
      </c>
      <c r="J4" s="11">
        <v>0</v>
      </c>
      <c r="K4" s="14">
        <f t="shared" si="0"/>
        <v>1</v>
      </c>
    </row>
    <row r="5" spans="1:11" ht="15.75" customHeight="1">
      <c r="A5" s="11">
        <v>4</v>
      </c>
      <c r="B5" s="1" t="s">
        <v>31</v>
      </c>
      <c r="C5" s="13" t="s">
        <v>15</v>
      </c>
      <c r="D5" s="13" t="s">
        <v>43</v>
      </c>
      <c r="E5" s="1" t="s">
        <v>32</v>
      </c>
      <c r="F5" s="13" t="s">
        <v>16</v>
      </c>
      <c r="G5" s="1" t="s">
        <v>2</v>
      </c>
      <c r="H5" s="11">
        <v>25</v>
      </c>
      <c r="I5" s="11">
        <v>25</v>
      </c>
      <c r="J5" s="11">
        <f t="shared" ref="J5:J25" si="2">H5-I5</f>
        <v>0</v>
      </c>
      <c r="K5" s="14">
        <f t="shared" si="0"/>
        <v>1</v>
      </c>
    </row>
    <row r="6" spans="1:11" ht="15.75" customHeight="1">
      <c r="A6" s="11">
        <v>5</v>
      </c>
      <c r="B6" s="1" t="s">
        <v>34</v>
      </c>
      <c r="C6" s="13" t="s">
        <v>37</v>
      </c>
      <c r="D6" s="13" t="s">
        <v>44</v>
      </c>
      <c r="E6" s="1" t="s">
        <v>38</v>
      </c>
      <c r="F6" s="13" t="s">
        <v>35</v>
      </c>
      <c r="G6" s="1" t="s">
        <v>0</v>
      </c>
      <c r="H6" s="11">
        <v>20</v>
      </c>
      <c r="I6" s="11">
        <v>20</v>
      </c>
      <c r="J6" s="11">
        <f t="shared" si="2"/>
        <v>0</v>
      </c>
      <c r="K6" s="14">
        <f t="shared" si="0"/>
        <v>1</v>
      </c>
    </row>
    <row r="7" spans="1:11" ht="15.75" customHeight="1">
      <c r="A7" s="11">
        <v>6</v>
      </c>
      <c r="B7" s="1" t="s">
        <v>34</v>
      </c>
      <c r="C7" s="13" t="s">
        <v>36</v>
      </c>
      <c r="D7" s="13" t="s">
        <v>45</v>
      </c>
      <c r="E7" s="1" t="s">
        <v>39</v>
      </c>
      <c r="F7" s="13" t="s">
        <v>35</v>
      </c>
      <c r="G7" s="1" t="s">
        <v>0</v>
      </c>
      <c r="H7" s="11">
        <v>15</v>
      </c>
      <c r="I7" s="11">
        <v>15</v>
      </c>
      <c r="J7" s="11">
        <f t="shared" si="2"/>
        <v>0</v>
      </c>
      <c r="K7" s="14">
        <f t="shared" si="0"/>
        <v>1</v>
      </c>
    </row>
    <row r="8" spans="1:11" ht="15.75" customHeight="1">
      <c r="A8" s="11">
        <v>7</v>
      </c>
      <c r="B8" s="1" t="s">
        <v>34</v>
      </c>
      <c r="C8" s="13" t="s">
        <v>40</v>
      </c>
      <c r="D8" s="13" t="s">
        <v>41</v>
      </c>
      <c r="E8" s="1" t="s">
        <v>39</v>
      </c>
      <c r="F8" s="13" t="s">
        <v>40</v>
      </c>
      <c r="G8" s="1" t="s">
        <v>0</v>
      </c>
      <c r="H8" s="11">
        <v>20</v>
      </c>
      <c r="I8" s="11">
        <v>20</v>
      </c>
      <c r="J8" s="11">
        <f t="shared" si="2"/>
        <v>0</v>
      </c>
      <c r="K8" s="14">
        <f t="shared" si="0"/>
        <v>1</v>
      </c>
    </row>
    <row r="9" spans="1:11" ht="15.75" customHeight="1">
      <c r="A9" s="11">
        <v>8</v>
      </c>
      <c r="B9" s="1" t="s">
        <v>46</v>
      </c>
      <c r="C9" s="13" t="s">
        <v>47</v>
      </c>
      <c r="D9" s="13" t="s">
        <v>48</v>
      </c>
      <c r="E9" s="12"/>
      <c r="F9" s="13" t="s">
        <v>49</v>
      </c>
      <c r="G9" s="1" t="s">
        <v>0</v>
      </c>
      <c r="H9" s="11">
        <v>5</v>
      </c>
      <c r="I9" s="11">
        <v>5</v>
      </c>
      <c r="J9" s="11">
        <f t="shared" si="2"/>
        <v>0</v>
      </c>
      <c r="K9" s="14">
        <f t="shared" si="0"/>
        <v>1</v>
      </c>
    </row>
    <row r="10" spans="1:11" ht="15.75" customHeight="1">
      <c r="A10" s="11">
        <v>9</v>
      </c>
      <c r="B10" s="1" t="s">
        <v>46</v>
      </c>
      <c r="C10" s="13" t="s">
        <v>47</v>
      </c>
      <c r="D10" s="13" t="s">
        <v>48</v>
      </c>
      <c r="E10" s="12"/>
      <c r="F10" s="13" t="s">
        <v>49</v>
      </c>
      <c r="G10" s="1" t="s">
        <v>2</v>
      </c>
      <c r="H10" s="11">
        <v>5</v>
      </c>
      <c r="I10" s="11">
        <v>5</v>
      </c>
      <c r="J10" s="11">
        <f t="shared" ref="J10" si="3">H10-I10</f>
        <v>0</v>
      </c>
      <c r="K10" s="14">
        <f t="shared" ref="K10" si="4">I10/(I10+J10)</f>
        <v>1</v>
      </c>
    </row>
    <row r="11" spans="1:11" ht="15.75" customHeight="1">
      <c r="A11" s="11">
        <v>10</v>
      </c>
      <c r="B11" s="1" t="s">
        <v>27</v>
      </c>
      <c r="C11" s="13" t="s">
        <v>28</v>
      </c>
      <c r="D11" s="13" t="s">
        <v>50</v>
      </c>
      <c r="E11" s="12"/>
      <c r="F11" s="13" t="s">
        <v>29</v>
      </c>
      <c r="G11" s="1" t="s">
        <v>2</v>
      </c>
      <c r="H11" s="11">
        <v>5</v>
      </c>
      <c r="I11" s="11">
        <v>5</v>
      </c>
      <c r="J11" s="11">
        <f t="shared" si="2"/>
        <v>0</v>
      </c>
      <c r="K11" s="14">
        <f t="shared" si="0"/>
        <v>1</v>
      </c>
    </row>
    <row r="12" spans="1:11" ht="15.75" customHeight="1">
      <c r="A12" s="11">
        <v>11</v>
      </c>
      <c r="B12" s="1" t="s">
        <v>51</v>
      </c>
      <c r="C12" s="13" t="s">
        <v>37</v>
      </c>
      <c r="D12" s="13" t="s">
        <v>52</v>
      </c>
      <c r="E12" s="12" t="s">
        <v>53</v>
      </c>
      <c r="F12" s="13" t="s">
        <v>56</v>
      </c>
      <c r="G12" s="1" t="s">
        <v>0</v>
      </c>
      <c r="H12" s="11">
        <v>15</v>
      </c>
      <c r="I12" s="11">
        <v>15</v>
      </c>
      <c r="J12" s="11">
        <f t="shared" si="2"/>
        <v>0</v>
      </c>
      <c r="K12" s="14">
        <f t="shared" si="0"/>
        <v>1</v>
      </c>
    </row>
    <row r="13" spans="1:11" ht="15.75" customHeight="1">
      <c r="A13" s="11">
        <v>12</v>
      </c>
      <c r="B13" s="1" t="s">
        <v>54</v>
      </c>
      <c r="C13" s="13" t="s">
        <v>37</v>
      </c>
      <c r="D13" s="13" t="s">
        <v>70</v>
      </c>
      <c r="E13" s="12" t="s">
        <v>53</v>
      </c>
      <c r="F13" s="13" t="s">
        <v>57</v>
      </c>
      <c r="G13" s="1" t="s">
        <v>0</v>
      </c>
      <c r="H13" s="11">
        <v>10</v>
      </c>
      <c r="I13" s="1">
        <v>10</v>
      </c>
      <c r="J13" s="11">
        <f t="shared" si="2"/>
        <v>0</v>
      </c>
      <c r="K13" s="14">
        <f t="shared" si="0"/>
        <v>1</v>
      </c>
    </row>
    <row r="14" spans="1:11" ht="15.75" customHeight="1">
      <c r="A14" s="11">
        <v>13</v>
      </c>
      <c r="B14" s="1" t="s">
        <v>51</v>
      </c>
      <c r="C14" s="13" t="s">
        <v>37</v>
      </c>
      <c r="D14" s="13" t="s">
        <v>55</v>
      </c>
      <c r="E14" s="12" t="s">
        <v>53</v>
      </c>
      <c r="F14" s="13" t="s">
        <v>35</v>
      </c>
      <c r="G14" s="1" t="s">
        <v>0</v>
      </c>
      <c r="H14" s="11">
        <v>15</v>
      </c>
      <c r="I14" s="1">
        <v>15</v>
      </c>
      <c r="J14" s="11">
        <f t="shared" si="2"/>
        <v>0</v>
      </c>
      <c r="K14" s="14">
        <f t="shared" si="0"/>
        <v>1</v>
      </c>
    </row>
    <row r="15" spans="1:11" ht="15.75" customHeight="1">
      <c r="A15" s="11">
        <v>14</v>
      </c>
      <c r="B15" s="1" t="s">
        <v>51</v>
      </c>
      <c r="C15" s="13" t="s">
        <v>37</v>
      </c>
      <c r="D15" s="13" t="s">
        <v>59</v>
      </c>
      <c r="E15" s="12" t="s">
        <v>53</v>
      </c>
      <c r="F15" s="13" t="s">
        <v>35</v>
      </c>
      <c r="G15" s="1" t="s">
        <v>0</v>
      </c>
      <c r="H15" s="11">
        <v>15</v>
      </c>
      <c r="I15" s="1">
        <v>15</v>
      </c>
      <c r="J15" s="11">
        <f t="shared" si="2"/>
        <v>0</v>
      </c>
      <c r="K15" s="14">
        <f t="shared" si="0"/>
        <v>1</v>
      </c>
    </row>
    <row r="16" spans="1:11" ht="15.75" customHeight="1">
      <c r="A16" s="11">
        <v>15</v>
      </c>
      <c r="B16" s="1" t="s">
        <v>51</v>
      </c>
      <c r="C16" s="1" t="s">
        <v>37</v>
      </c>
      <c r="D16" s="22" t="s">
        <v>58</v>
      </c>
      <c r="E16" s="1" t="s">
        <v>53</v>
      </c>
      <c r="F16" s="13" t="s">
        <v>60</v>
      </c>
      <c r="G16" s="1" t="s">
        <v>2</v>
      </c>
      <c r="H16" s="11">
        <v>20</v>
      </c>
      <c r="I16" s="1">
        <v>20</v>
      </c>
      <c r="J16" s="11">
        <f t="shared" si="2"/>
        <v>0</v>
      </c>
      <c r="K16" s="14">
        <f t="shared" si="0"/>
        <v>1</v>
      </c>
    </row>
    <row r="17" spans="1:12" ht="15.75" customHeight="1">
      <c r="A17" s="11">
        <v>16</v>
      </c>
      <c r="B17" s="1" t="s">
        <v>51</v>
      </c>
      <c r="C17" s="13" t="s">
        <v>61</v>
      </c>
      <c r="D17" s="13" t="s">
        <v>62</v>
      </c>
      <c r="E17" s="1" t="s">
        <v>63</v>
      </c>
      <c r="F17" s="13" t="s">
        <v>56</v>
      </c>
      <c r="G17" s="1" t="s">
        <v>2</v>
      </c>
      <c r="H17" s="11">
        <v>20</v>
      </c>
      <c r="I17" s="11">
        <v>20</v>
      </c>
      <c r="J17" s="11">
        <f t="shared" si="2"/>
        <v>0</v>
      </c>
      <c r="K17" s="14">
        <f t="shared" si="0"/>
        <v>1</v>
      </c>
    </row>
    <row r="18" spans="1:12" ht="15.75" customHeight="1">
      <c r="A18" s="11">
        <v>17</v>
      </c>
      <c r="B18" s="1" t="s">
        <v>51</v>
      </c>
      <c r="C18" s="13" t="s">
        <v>61</v>
      </c>
      <c r="D18" s="13" t="s">
        <v>64</v>
      </c>
      <c r="E18" s="1" t="s">
        <v>63</v>
      </c>
      <c r="F18" s="13" t="s">
        <v>40</v>
      </c>
      <c r="G18" s="1" t="s">
        <v>0</v>
      </c>
      <c r="H18" s="11">
        <v>30</v>
      </c>
      <c r="I18" s="11">
        <v>30</v>
      </c>
      <c r="J18" s="11">
        <f t="shared" si="2"/>
        <v>0</v>
      </c>
      <c r="K18" s="14">
        <f t="shared" si="0"/>
        <v>1</v>
      </c>
    </row>
    <row r="19" spans="1:12" ht="15.75" customHeight="1">
      <c r="A19" s="11">
        <v>18</v>
      </c>
      <c r="B19" s="1" t="s">
        <v>51</v>
      </c>
      <c r="C19" s="13" t="s">
        <v>37</v>
      </c>
      <c r="D19" s="13" t="s">
        <v>65</v>
      </c>
      <c r="E19" s="1" t="s">
        <v>66</v>
      </c>
      <c r="F19" s="13" t="s">
        <v>56</v>
      </c>
      <c r="G19" s="1" t="s">
        <v>0</v>
      </c>
      <c r="H19" s="11">
        <v>10</v>
      </c>
      <c r="I19" s="11">
        <v>10</v>
      </c>
      <c r="J19" s="11">
        <f t="shared" si="2"/>
        <v>0</v>
      </c>
      <c r="K19" s="14">
        <f t="shared" si="0"/>
        <v>1</v>
      </c>
    </row>
    <row r="20" spans="1:12" ht="15.75" customHeight="1">
      <c r="A20" s="11">
        <v>19</v>
      </c>
      <c r="B20" s="1" t="s">
        <v>51</v>
      </c>
      <c r="C20" s="13" t="s">
        <v>37</v>
      </c>
      <c r="D20" s="12" t="s">
        <v>67</v>
      </c>
      <c r="E20" s="1" t="s">
        <v>66</v>
      </c>
      <c r="F20" s="13" t="s">
        <v>35</v>
      </c>
      <c r="G20" s="1" t="s">
        <v>2</v>
      </c>
      <c r="H20" s="11">
        <v>20</v>
      </c>
      <c r="I20" s="11">
        <v>20</v>
      </c>
      <c r="J20" s="11">
        <f t="shared" si="2"/>
        <v>0</v>
      </c>
      <c r="K20" s="14">
        <f t="shared" si="0"/>
        <v>1</v>
      </c>
      <c r="L20" s="13"/>
    </row>
    <row r="21" spans="1:12" ht="15.75" customHeight="1">
      <c r="A21" s="11">
        <v>20</v>
      </c>
      <c r="B21" s="1" t="s">
        <v>51</v>
      </c>
      <c r="C21" s="13" t="s">
        <v>68</v>
      </c>
      <c r="D21" s="13" t="s">
        <v>69</v>
      </c>
      <c r="E21" s="12"/>
      <c r="F21" s="13" t="s">
        <v>40</v>
      </c>
      <c r="G21" s="1" t="s">
        <v>0</v>
      </c>
      <c r="H21" s="11">
        <v>5</v>
      </c>
      <c r="I21" s="11">
        <v>5</v>
      </c>
      <c r="J21" s="11">
        <f t="shared" si="2"/>
        <v>0</v>
      </c>
      <c r="K21" s="14">
        <f t="shared" si="0"/>
        <v>1</v>
      </c>
    </row>
    <row r="22" spans="1:12" ht="15.75" customHeight="1">
      <c r="A22" s="11">
        <v>21</v>
      </c>
      <c r="B22" s="1" t="s">
        <v>51</v>
      </c>
      <c r="C22" s="13" t="s">
        <v>68</v>
      </c>
      <c r="D22" s="13" t="s">
        <v>69</v>
      </c>
      <c r="E22" s="12"/>
      <c r="F22" s="13" t="s">
        <v>40</v>
      </c>
      <c r="G22" s="1" t="s">
        <v>2</v>
      </c>
      <c r="H22" s="11">
        <v>5</v>
      </c>
      <c r="I22" s="11">
        <v>5</v>
      </c>
      <c r="J22" s="11">
        <f t="shared" ref="J22" si="5">H22-I22</f>
        <v>0</v>
      </c>
      <c r="K22" s="14">
        <f t="shared" ref="K22" si="6">I22/(I22+J22)</f>
        <v>1</v>
      </c>
    </row>
    <row r="23" spans="1:12" ht="15.75" customHeight="1">
      <c r="A23" s="11">
        <v>22</v>
      </c>
      <c r="B23" s="1" t="s">
        <v>73</v>
      </c>
      <c r="C23" s="13" t="s">
        <v>68</v>
      </c>
      <c r="D23" s="13" t="s">
        <v>80</v>
      </c>
      <c r="E23" s="12"/>
      <c r="F23" s="13" t="s">
        <v>73</v>
      </c>
      <c r="G23" s="1" t="s">
        <v>2</v>
      </c>
      <c r="H23" s="11">
        <v>40</v>
      </c>
      <c r="I23" s="11">
        <v>40</v>
      </c>
      <c r="J23" s="11">
        <f>H23-I23</f>
        <v>0</v>
      </c>
      <c r="K23" s="14">
        <f t="shared" si="0"/>
        <v>1</v>
      </c>
    </row>
    <row r="24" spans="1:12" ht="15.75" customHeight="1">
      <c r="A24" s="11">
        <v>23</v>
      </c>
      <c r="B24" s="1" t="s">
        <v>46</v>
      </c>
      <c r="C24" s="13" t="s">
        <v>74</v>
      </c>
      <c r="D24" s="13" t="s">
        <v>77</v>
      </c>
      <c r="E24" s="12" t="s">
        <v>78</v>
      </c>
      <c r="F24" s="13" t="s">
        <v>46</v>
      </c>
      <c r="G24" s="1" t="s">
        <v>2</v>
      </c>
      <c r="H24" s="11">
        <v>30</v>
      </c>
      <c r="I24" s="11">
        <v>30</v>
      </c>
      <c r="J24" s="11">
        <f t="shared" si="2"/>
        <v>0</v>
      </c>
      <c r="K24" s="14">
        <f t="shared" si="0"/>
        <v>1</v>
      </c>
    </row>
    <row r="25" spans="1:12" ht="15.75" customHeight="1">
      <c r="A25" s="11">
        <v>24</v>
      </c>
      <c r="B25" s="1" t="s">
        <v>51</v>
      </c>
      <c r="C25" s="13" t="s">
        <v>37</v>
      </c>
      <c r="D25" s="13" t="s">
        <v>79</v>
      </c>
      <c r="E25" s="1" t="s">
        <v>75</v>
      </c>
      <c r="F25" s="13" t="s">
        <v>35</v>
      </c>
      <c r="G25" s="1" t="s">
        <v>2</v>
      </c>
      <c r="H25" s="11">
        <v>20</v>
      </c>
      <c r="I25" s="11">
        <v>20</v>
      </c>
      <c r="J25" s="11">
        <f t="shared" si="2"/>
        <v>0</v>
      </c>
      <c r="K25" s="14">
        <f t="shared" si="0"/>
        <v>1</v>
      </c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showGridLines="0" tabSelected="1" workbookViewId="0">
      <selection activeCell="D8" sqref="D8"/>
    </sheetView>
  </sheetViews>
  <sheetFormatPr defaultColWidth="12.5703125" defaultRowHeight="15" customHeight="1"/>
  <cols>
    <col min="1" max="1" width="12.5703125" customWidth="1"/>
    <col min="2" max="2" width="19" customWidth="1"/>
    <col min="3" max="3" width="20.42578125" customWidth="1"/>
    <col min="4" max="4" width="19.42578125" customWidth="1"/>
    <col min="5" max="6" width="12.5703125" customWidth="1"/>
  </cols>
  <sheetData>
    <row r="1" spans="1:4" ht="15.75" customHeight="1">
      <c r="A1" s="15"/>
      <c r="B1" s="16" t="s">
        <v>26</v>
      </c>
      <c r="C1" s="17"/>
      <c r="D1" s="18"/>
    </row>
    <row r="2" spans="1:4" ht="15.75" customHeight="1">
      <c r="A2" s="16" t="s">
        <v>10</v>
      </c>
      <c r="B2" s="15" t="s">
        <v>17</v>
      </c>
      <c r="C2" s="19" t="s">
        <v>18</v>
      </c>
      <c r="D2" s="20" t="s">
        <v>19</v>
      </c>
    </row>
    <row r="3" spans="1:4" ht="15.75" customHeight="1">
      <c r="A3" s="15" t="s">
        <v>0</v>
      </c>
      <c r="B3" s="24">
        <v>210</v>
      </c>
      <c r="C3" s="25">
        <v>210</v>
      </c>
      <c r="D3" s="26">
        <v>0</v>
      </c>
    </row>
    <row r="4" spans="1:4" ht="15.75" customHeight="1">
      <c r="A4" s="23" t="s">
        <v>2</v>
      </c>
      <c r="B4" s="27">
        <v>200</v>
      </c>
      <c r="C4" s="28">
        <v>150</v>
      </c>
      <c r="D4" s="29">
        <v>50</v>
      </c>
    </row>
    <row r="5" spans="1:4" ht="15.75" customHeight="1">
      <c r="A5" s="21" t="s">
        <v>76</v>
      </c>
      <c r="B5" s="30">
        <v>410</v>
      </c>
      <c r="C5" s="31">
        <v>360</v>
      </c>
      <c r="D5" s="32">
        <v>50</v>
      </c>
    </row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>
      <c r="A12" s="7" t="s">
        <v>14</v>
      </c>
      <c r="B12" s="8">
        <f>avancement!D2</f>
        <v>1</v>
      </c>
    </row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>
      <selection activeCell="G11" sqref="G11"/>
    </sheetView>
  </sheetViews>
  <sheetFormatPr defaultColWidth="12.5703125" defaultRowHeight="1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  <col min="6" max="6" width="12.5703125" customWidth="1"/>
  </cols>
  <sheetData>
    <row r="1" spans="1:5" ht="15.75" customHeight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 spans="1:5" ht="15.75" customHeight="1">
      <c r="A2" s="3">
        <f>SUM('liste des taches'!H:H)</f>
        <v>420</v>
      </c>
      <c r="B2" s="3">
        <f>SUM('liste des taches'!I:I)</f>
        <v>420</v>
      </c>
      <c r="C2" s="3">
        <f>SUM('liste des taches'!J:J)</f>
        <v>0</v>
      </c>
      <c r="D2" s="4">
        <f>(B2/(B2+C2))</f>
        <v>1</v>
      </c>
      <c r="E2" s="4">
        <f>((B2+C2)-A2)/A2</f>
        <v>0</v>
      </c>
    </row>
    <row r="3" spans="1:5" ht="15.75" customHeight="1">
      <c r="A3" s="5"/>
      <c r="B3" s="5"/>
      <c r="C3" s="6">
        <f>C2/60</f>
        <v>0</v>
      </c>
      <c r="D3" s="5" t="s">
        <v>25</v>
      </c>
      <c r="E3" s="5"/>
    </row>
    <row r="4" spans="1:5" ht="15.75" customHeight="1"/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groupe</vt:lpstr>
      <vt:lpstr>liste des taches</vt:lpstr>
      <vt:lpstr>Recap</vt:lpstr>
      <vt:lpstr>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NATIORA</cp:lastModifiedBy>
  <dcterms:created xsi:type="dcterms:W3CDTF">2026-02-10T08:54:00Z</dcterms:created>
  <dcterms:modified xsi:type="dcterms:W3CDTF">2026-03-31T06:36:20Z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C138FFA014CC40B6B82A597F87CA1A7D_12</vt:lpwstr>
  </property>
  <property fmtid="{D5CDD505-2E9C-101B-9397-08002B2CF9AE}" pid="3" name="KSOProductBuildVer">
    <vt:lpwstr>1036-12.9.0.21549</vt:lpwstr>
  </property>
</Properties>
</file>