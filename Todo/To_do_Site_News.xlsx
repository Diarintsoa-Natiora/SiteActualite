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TIORA\Desktop\S6\MrRojo\TP\SEO\SiteActualite\Todo\"/>
    </mc:Choice>
  </mc:AlternateContent>
  <xr:revisionPtr revIDLastSave="0" documentId="13_ncr:1_{3D9FB8FC-3D66-4717-8C52-7249A62A346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2" l="1"/>
  <c r="K23" i="2" s="1"/>
  <c r="J22" i="2"/>
  <c r="K22" i="2" s="1"/>
  <c r="J10" i="2"/>
  <c r="K10" i="2" s="1"/>
  <c r="J3" i="2"/>
  <c r="K3" i="2" s="1"/>
  <c r="B2" i="4"/>
  <c r="A2" i="4"/>
  <c r="J25" i="2"/>
  <c r="K25" i="2" s="1"/>
  <c r="J24" i="2"/>
  <c r="K24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9" i="2"/>
  <c r="K9" i="2" s="1"/>
  <c r="J8" i="2"/>
  <c r="K8" i="2" s="1"/>
  <c r="J7" i="2"/>
  <c r="K7" i="2" s="1"/>
  <c r="J6" i="2"/>
  <c r="K6" i="2" s="1"/>
  <c r="J5" i="2"/>
  <c r="K4" i="2"/>
  <c r="J2" i="2"/>
  <c r="K2" i="2" s="1"/>
  <c r="C2" i="4" l="1"/>
  <c r="C3" i="4" s="1"/>
  <c r="K5" i="2"/>
  <c r="D2" i="4" l="1"/>
  <c r="B12" i="3" s="1"/>
  <c r="E2" i="4"/>
</calcChain>
</file>

<file path=xl/sharedStrings.xml><?xml version="1.0" encoding="utf-8"?>
<sst xmlns="http://schemas.openxmlformats.org/spreadsheetml/2006/main" count="167" uniqueCount="83">
  <si>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</si>
  <si>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</si>
  <si>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</si>
  <si>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</si>
  <si>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</si>
  <si>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</si>
  <si>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</si>
  <si>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</si>
  <si>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</si>
  <si>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</si>
  <si>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</si>
  <si>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</si>
  <si>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</si>
  <si>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</si>
  <si>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</si>
  <si>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</si>
  <si>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</si>
  <si>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</si>
  <si>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</si>
  <si>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</si>
  <si>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</si>
  <si>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</si>
  <si>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</si>
  <si>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</si>
  <si>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</si>
  <si>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</si>
  <si>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</si>
  <si>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</si>
  <si>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</si>
  <si>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Conception</t>
  </si>
  <si>
    <t>Base de donnee</t>
  </si>
  <si>
    <t>BDD</t>
  </si>
  <si>
    <t>Core</t>
  </si>
  <si>
    <t>orchestration</t>
  </si>
  <si>
    <t>docker-file/docker-yml</t>
  </si>
  <si>
    <t>Structuration</t>
  </si>
  <si>
    <t>Authentification</t>
  </si>
  <si>
    <t>metier</t>
  </si>
  <si>
    <t>Bakc-office</t>
  </si>
  <si>
    <t>Back-office</t>
  </si>
  <si>
    <t>SignIn.php</t>
  </si>
  <si>
    <t>Login.php</t>
  </si>
  <si>
    <t>Integration</t>
  </si>
  <si>
    <t>Mettre en place le système d'authentifiaction</t>
  </si>
  <si>
    <t>mettre en place la strucutre du projet</t>
  </si>
  <si>
    <t>mettre en place l'environement Docker</t>
  </si>
  <si>
    <t>Inscription dans le site news</t>
  </si>
  <si>
    <t>connexion dans le site news</t>
  </si>
  <si>
    <t>Documentation</t>
  </si>
  <si>
    <t>TinyDocs</t>
  </si>
  <si>
    <t>Comprendre le concept de TinyDocs</t>
  </si>
  <si>
    <t>Orientation</t>
  </si>
  <si>
    <t>verifier que la base de donnee  est bien adapter</t>
  </si>
  <si>
    <t>CRUD Article</t>
  </si>
  <si>
    <t>Créer une formulaire pour Ajouter un article (les champs necessaires)</t>
  </si>
  <si>
    <t>create_article.php</t>
  </si>
  <si>
    <t>Integration TinyDocs</t>
  </si>
  <si>
    <t>Gerer l'envoi du formulaire</t>
  </si>
  <si>
    <t>affichage</t>
  </si>
  <si>
    <t>dependance</t>
  </si>
  <si>
    <t>Insertion dans la base</t>
  </si>
  <si>
    <t>generation du slug (amin'ilay SEO)</t>
  </si>
  <si>
    <t>persistance</t>
  </si>
  <si>
    <t>Front-office</t>
  </si>
  <si>
    <t>Récupérer et afficher l'article</t>
  </si>
  <si>
    <t>article.php</t>
  </si>
  <si>
    <t>Mettre en place URL SEO(ao amin'ilay htaccess)</t>
  </si>
  <si>
    <t>mettre en fin le upload image</t>
  </si>
  <si>
    <t>upload.php</t>
  </si>
  <si>
    <t>Configuration Tinydocs et type Mimme</t>
  </si>
  <si>
    <t>Back-office/Front-office</t>
  </si>
  <si>
    <t>Effectuer un test complet :créer article,checker html dans la base,afficher article,tester les images,tester URL seo</t>
  </si>
  <si>
    <t>Obtenir l'API key,Ajouter le script CDN et initialiser l'editeur</t>
  </si>
  <si>
    <t>faire la conception du projet sans SGBDR</t>
  </si>
  <si>
    <t>faire la conception du projet SGBDR</t>
  </si>
  <si>
    <t>Optimisation</t>
  </si>
  <si>
    <t>Doc-technique</t>
  </si>
  <si>
    <t>crud_article.php</t>
  </si>
  <si>
    <t>Grand Total</t>
  </si>
  <si>
    <t>Optimisation du site Compression des images,amelioration des strucutres HTML,generalisation des metiers</t>
  </si>
  <si>
    <t>redaction des guides et documentation du projet</t>
  </si>
  <si>
    <t>documention,pdf</t>
  </si>
  <si>
    <t>Gestion des artciles (update + delete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</si>
</sst>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0" fillId="0" borderId="10" xfId="0" applyFont="1" applyBorder="1"/>
    <xf numFmtId="0" fontId="0" fillId="0" borderId="11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11" xfId="0" applyNumberFormat="1" applyBorder="1"/>
    <xf numFmtId="0" fontId="0" fillId="0" borderId="0" xfId="0" applyNumberFormat="1"/>
    <xf numFmtId="0" fontId="0" fillId="0" borderId="12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NATIORA" refreshedDate="46111.868978356484" refreshedVersion="8" recordCount="24" xr:uid="{00000000-000A-0000-FFFF-FFFF00000000}">
  <cacheSource type="worksheet">
    <worksheetSource ref="B1:K25" sheet="liste des taches"/>
  </cacheSource>
  <cacheFields count="10">
    <cacheField name="Catégorie" numFmtId="0">
      <sharedItems/>
    </cacheField>
    <cacheField name="Module" numFmtId="0">
      <sharedItems/>
    </cacheField>
    <cacheField name="Taches" numFmtId="0">
      <sharedItems/>
    </cacheField>
    <cacheField name="Page" numFmtId="0">
      <sharedItems containsBlank="1"/>
    </cacheField>
    <cacheField name="Type" numFmtId="0">
      <sharedItems/>
    </cacheField>
    <cacheField name="Qui" numFmtId="0">
      <sharedItems containsBlank="1" count="5">
        <s v="ETU003252"/>
        <s v="ETU003777"/>
        <m u="1"/>
        <s v="ETU003329" u="1"/>
        <s v="ETU003289" u="1"/>
      </sharedItems>
    </cacheField>
    <cacheField name="Estimation" numFmtId="0">
      <sharedItems containsSemiMixedTypes="0" containsString="0" containsNumber="1" containsInteger="1" minValue="5" maxValue="30"/>
    </cacheField>
    <cacheField name="Temps passé" numFmtId="0">
      <sharedItems containsSemiMixedTypes="0" containsString="0" containsNumber="1" containsInteger="1" minValue="0" maxValue="30"/>
    </cacheField>
    <cacheField name="Reste à faire" numFmtId="0">
      <sharedItems containsSemiMixedTypes="0" containsString="0" containsNumber="1" containsInteger="1" minValue="0" maxValue="30"/>
    </cacheField>
    <cacheField name="Avancement" numFmtId="165">
      <sharedItems containsSemiMixedTypes="0" containsString="0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s v="Conception"/>
    <s v="Base de donnee"/>
    <s v="faire la conception du projet sans SGBDR"/>
    <m/>
    <s v="BDD"/>
    <x v="0"/>
    <n v="20"/>
    <n v="20"/>
    <n v="0"/>
    <n v="1"/>
  </r>
  <r>
    <s v="Conception"/>
    <s v="Base de donnee"/>
    <s v="faire la conception du projet SGBDR"/>
    <m/>
    <s v="BDD"/>
    <x v="1"/>
    <n v="20"/>
    <n v="20"/>
    <n v="0"/>
    <n v="1"/>
  </r>
  <r>
    <s v="Structuration"/>
    <s v="Core"/>
    <s v="mettre en place la strucutre du projet"/>
    <m/>
    <s v="setup"/>
    <x v="0"/>
    <n v="30"/>
    <n v="30"/>
    <n v="0"/>
    <n v="1"/>
  </r>
  <r>
    <s v="orchestration"/>
    <s v="Docker"/>
    <s v="mettre en place l'environement Docker"/>
    <s v="docker-file/docker-yml"/>
    <s v="setup"/>
    <x v="1"/>
    <n v="25"/>
    <n v="25"/>
    <n v="0"/>
    <n v="1"/>
  </r>
  <r>
    <s v="Authentification"/>
    <s v="Back-office"/>
    <s v="Inscription dans le site news"/>
    <s v="SignIn.php"/>
    <s v="metier"/>
    <x v="0"/>
    <n v="20"/>
    <n v="20"/>
    <n v="0"/>
    <n v="1"/>
  </r>
  <r>
    <s v="Authentification"/>
    <s v="Bakc-office"/>
    <s v="connexion dans le site news"/>
    <s v="Login.php"/>
    <s v="metier"/>
    <x v="0"/>
    <n v="15"/>
    <n v="15"/>
    <n v="0"/>
    <n v="1"/>
  </r>
  <r>
    <s v="Authentification"/>
    <s v="Integration"/>
    <s v="Mettre en place le système d'authentifiaction"/>
    <s v="Login.php"/>
    <s v="Integration"/>
    <x v="0"/>
    <n v="20"/>
    <n v="20"/>
    <n v="0"/>
    <n v="1"/>
  </r>
  <r>
    <s v="Documentation"/>
    <s v="TinyDocs"/>
    <s v="Comprendre le concept de TinyDocs"/>
    <m/>
    <s v="Orientation"/>
    <x v="0"/>
    <n v="5"/>
    <n v="5"/>
    <n v="0"/>
    <n v="1"/>
  </r>
  <r>
    <s v="Documentation"/>
    <s v="TinyDocs"/>
    <s v="Comprendre le concept de TinyDocs"/>
    <m/>
    <s v="Orientation"/>
    <x v="1"/>
    <n v="5"/>
    <n v="5"/>
    <n v="0"/>
    <n v="1"/>
  </r>
  <r>
    <s v="Conception"/>
    <s v="Base de donnee"/>
    <s v="verifier que la base de donnee  est bien adapter"/>
    <m/>
    <s v="BDD"/>
    <x v="1"/>
    <n v="5"/>
    <n v="5"/>
    <n v="0"/>
    <n v="1"/>
  </r>
  <r>
    <s v="CRUD Article"/>
    <s v="Back-office"/>
    <s v="Créer une formulaire pour Ajouter un article (les champs necessaires)"/>
    <s v="create_article.php"/>
    <s v="affichage"/>
    <x v="0"/>
    <n v="15"/>
    <n v="15"/>
    <n v="0"/>
    <n v="1"/>
  </r>
  <r>
    <s v="Integration TinyDocs"/>
    <s v="Back-office"/>
    <s v="Obtenir l'API key,Ajouter le script CDN et initialiser l'editeur"/>
    <s v="create_article.php"/>
    <s v="dependance"/>
    <x v="0"/>
    <n v="10"/>
    <n v="10"/>
    <n v="0"/>
    <n v="1"/>
  </r>
  <r>
    <s v="CRUD Article"/>
    <s v="Back-office"/>
    <s v="Gerer l'envoi du formulaire"/>
    <s v="create_article.php"/>
    <s v="metier"/>
    <x v="0"/>
    <n v="15"/>
    <n v="15"/>
    <n v="0"/>
    <n v="1"/>
  </r>
  <r>
    <s v="CRUD Article"/>
    <s v="Back-office"/>
    <s v="generation du slug (amin'ilay SEO)"/>
    <s v="create_article.php"/>
    <s v="metier"/>
    <x v="0"/>
    <n v="15"/>
    <n v="15"/>
    <n v="0"/>
    <n v="1"/>
  </r>
  <r>
    <s v="CRUD Article"/>
    <s v="Back-office"/>
    <s v="Insertion dans la base"/>
    <s v="create_article.php"/>
    <s v="persistance"/>
    <x v="1"/>
    <n v="20"/>
    <n v="20"/>
    <n v="0"/>
    <n v="1"/>
  </r>
  <r>
    <s v="CRUD Article"/>
    <s v="Front-office"/>
    <s v="Récupérer et afficher l'article"/>
    <s v="article.php"/>
    <s v="affichage"/>
    <x v="1"/>
    <n v="20"/>
    <n v="20"/>
    <n v="0"/>
    <n v="1"/>
  </r>
  <r>
    <s v="CRUD Article"/>
    <s v="Front-office"/>
    <s v="Mettre en place URL SEO(ao amin'ilay htaccess)"/>
    <s v="article.php"/>
    <s v="Integration"/>
    <x v="0"/>
    <n v="30"/>
    <n v="30"/>
    <n v="0"/>
    <n v="1"/>
  </r>
  <r>
    <s v="CRUD Article"/>
    <s v="Back-office"/>
    <s v="mettre en fin le upload image"/>
    <s v="upload.php"/>
    <s v="affichage"/>
    <x v="0"/>
    <n v="10"/>
    <n v="10"/>
    <n v="0"/>
    <n v="1"/>
  </r>
  <r>
    <s v="CRUD Article"/>
    <s v="Back-office"/>
    <s v="Configuration Tinydocs et type Mimme"/>
    <s v="upload.php"/>
    <s v="metier"/>
    <x v="1"/>
    <n v="20"/>
    <n v="20"/>
    <n v="0"/>
    <n v="1"/>
  </r>
  <r>
    <s v="CRUD Article"/>
    <s v="Back-office/Front-office"/>
    <s v="Effectuer un test complet :créer article,checker html dans la base,afficher article,tester les images,tester URL seo"/>
    <m/>
    <s v="Integration"/>
    <x v="0"/>
    <n v="5"/>
    <n v="5"/>
    <n v="0"/>
    <n v="1"/>
  </r>
  <r>
    <s v="CRUD Article"/>
    <s v="Back-office/Front-office"/>
    <s v="Effectuer un test complet :créer article,checker html dans la base,afficher article,tester les images,tester URL seo"/>
    <m/>
    <s v="Integration"/>
    <x v="1"/>
    <n v="5"/>
    <n v="5"/>
    <n v="0"/>
    <n v="1"/>
  </r>
  <r>
    <s v="Optimisation"/>
    <s v="Back-office/Front-office"/>
    <s v="Optimisation du site Compression des images,amelioration des strucutres HTML,generalisation des metiers"/>
    <m/>
    <s v="Optimisation"/>
    <x v="1"/>
    <n v="30"/>
    <n v="0"/>
    <n v="30"/>
    <n v="0"/>
  </r>
  <r>
    <s v="Documentation"/>
    <s v="Doc-technique"/>
    <s v="redaction des guides et documentation du projet"/>
    <s v="documention,pdf"/>
    <s v="Documentation"/>
    <x v="1"/>
    <n v="30"/>
    <n v="15"/>
    <n v="15"/>
    <n v="0.5"/>
  </r>
  <r>
    <s v="CRUD Article"/>
    <s v="Back-office"/>
    <s v="Gestion des artciles (update + delete )"/>
    <s v="crud_article.php"/>
    <s v="metier"/>
    <x v="1"/>
    <n v="20"/>
    <n v="0"/>
    <n v="2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5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x="1"/>
        <item h="1" m="1" x="2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3">
    <i>
      <x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defaultColWidth="12.5703125" defaultRowHeight="15" customHeight="1"/>
  <cols>
    <col min="1" max="1" width="12.5703125" customWidth="1"/>
    <col min="2" max="2" width="42.85546875" customWidth="1"/>
    <col min="3" max="6" width="12.57031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4"/>
  <sheetViews>
    <sheetView tabSelected="1" topLeftCell="A12" workbookViewId="0">
      <selection activeCell="I25" sqref="I25"/>
    </sheetView>
  </sheetViews>
  <sheetFormatPr defaultColWidth="12.5703125" defaultRowHeight="15" customHeight="1"/>
  <cols>
    <col min="1" max="1" width="5.85546875" customWidth="1"/>
    <col min="2" max="2" width="19" customWidth="1"/>
    <col min="3" max="3" width="18" customWidth="1"/>
    <col min="4" max="4" width="38.42578125" customWidth="1"/>
    <col min="5" max="5" width="16.42578125" customWidth="1"/>
    <col min="6" max="6" width="12.57031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29</v>
      </c>
      <c r="C2" s="19" t="s">
        <v>30</v>
      </c>
      <c r="D2" s="20" t="s">
        <v>73</v>
      </c>
      <c r="E2" s="8"/>
      <c r="F2" s="20" t="s">
        <v>31</v>
      </c>
      <c r="G2" s="8" t="s">
        <v>0</v>
      </c>
      <c r="H2" s="18">
        <v>20</v>
      </c>
      <c r="I2" s="18">
        <v>20</v>
      </c>
      <c r="J2" s="18">
        <f>H2-I2</f>
        <v>0</v>
      </c>
      <c r="K2" s="21">
        <f t="shared" ref="K2:K25" si="0">I2/(I2+J2)</f>
        <v>1</v>
      </c>
    </row>
    <row r="3" spans="1:11" ht="15.75" customHeight="1">
      <c r="A3" s="18">
        <v>2</v>
      </c>
      <c r="B3" s="8" t="s">
        <v>29</v>
      </c>
      <c r="C3" s="19" t="s">
        <v>30</v>
      </c>
      <c r="D3" s="20" t="s">
        <v>74</v>
      </c>
      <c r="E3" s="8"/>
      <c r="F3" s="20" t="s">
        <v>31</v>
      </c>
      <c r="G3" s="8" t="s">
        <v>2</v>
      </c>
      <c r="H3" s="18">
        <v>20</v>
      </c>
      <c r="I3" s="18">
        <v>20</v>
      </c>
      <c r="J3" s="18">
        <f>H3-I3</f>
        <v>0</v>
      </c>
      <c r="K3" s="21">
        <f t="shared" ref="K3" si="1">I3/(I3+J3)</f>
        <v>1</v>
      </c>
    </row>
    <row r="4" spans="1:11" ht="15.75" customHeight="1">
      <c r="A4" s="18">
        <v>3</v>
      </c>
      <c r="B4" s="8" t="s">
        <v>35</v>
      </c>
      <c r="C4" s="19" t="s">
        <v>32</v>
      </c>
      <c r="D4" s="20" t="s">
        <v>44</v>
      </c>
      <c r="E4" s="8"/>
      <c r="F4" s="20" t="s">
        <v>16</v>
      </c>
      <c r="G4" s="8" t="s">
        <v>0</v>
      </c>
      <c r="H4" s="18">
        <v>30</v>
      </c>
      <c r="I4" s="18">
        <v>30</v>
      </c>
      <c r="J4" s="18">
        <v>0</v>
      </c>
      <c r="K4" s="21">
        <f t="shared" si="0"/>
        <v>1</v>
      </c>
    </row>
    <row r="5" spans="1:11" ht="15.75" customHeight="1">
      <c r="A5" s="18">
        <v>4</v>
      </c>
      <c r="B5" s="8" t="s">
        <v>33</v>
      </c>
      <c r="C5" s="20" t="s">
        <v>15</v>
      </c>
      <c r="D5" s="20" t="s">
        <v>45</v>
      </c>
      <c r="E5" s="8" t="s">
        <v>34</v>
      </c>
      <c r="F5" s="20" t="s">
        <v>16</v>
      </c>
      <c r="G5" s="8" t="s">
        <v>2</v>
      </c>
      <c r="H5" s="18">
        <v>25</v>
      </c>
      <c r="I5" s="18">
        <v>25</v>
      </c>
      <c r="J5" s="18">
        <f t="shared" ref="J5:J25" si="2">H5-I5</f>
        <v>0</v>
      </c>
      <c r="K5" s="21">
        <f t="shared" si="0"/>
        <v>1</v>
      </c>
    </row>
    <row r="6" spans="1:11" ht="15.75" customHeight="1">
      <c r="A6" s="18">
        <v>5</v>
      </c>
      <c r="B6" s="8" t="s">
        <v>36</v>
      </c>
      <c r="C6" s="20" t="s">
        <v>39</v>
      </c>
      <c r="D6" s="20" t="s">
        <v>46</v>
      </c>
      <c r="E6" s="8" t="s">
        <v>40</v>
      </c>
      <c r="F6" s="20" t="s">
        <v>37</v>
      </c>
      <c r="G6" s="8" t="s">
        <v>0</v>
      </c>
      <c r="H6" s="18">
        <v>20</v>
      </c>
      <c r="I6" s="18">
        <v>20</v>
      </c>
      <c r="J6" s="18">
        <f t="shared" si="2"/>
        <v>0</v>
      </c>
      <c r="K6" s="21">
        <f t="shared" si="0"/>
        <v>1</v>
      </c>
    </row>
    <row r="7" spans="1:11" ht="15.75" customHeight="1">
      <c r="A7" s="18">
        <v>6</v>
      </c>
      <c r="B7" s="8" t="s">
        <v>36</v>
      </c>
      <c r="C7" s="20" t="s">
        <v>38</v>
      </c>
      <c r="D7" s="20" t="s">
        <v>47</v>
      </c>
      <c r="E7" s="8" t="s">
        <v>41</v>
      </c>
      <c r="F7" s="20" t="s">
        <v>37</v>
      </c>
      <c r="G7" s="8" t="s">
        <v>0</v>
      </c>
      <c r="H7" s="18">
        <v>15</v>
      </c>
      <c r="I7" s="18">
        <v>15</v>
      </c>
      <c r="J7" s="18">
        <f t="shared" si="2"/>
        <v>0</v>
      </c>
      <c r="K7" s="21">
        <f t="shared" si="0"/>
        <v>1</v>
      </c>
    </row>
    <row r="8" spans="1:11" ht="15.75" customHeight="1">
      <c r="A8" s="18">
        <v>7</v>
      </c>
      <c r="B8" s="8" t="s">
        <v>36</v>
      </c>
      <c r="C8" s="20" t="s">
        <v>42</v>
      </c>
      <c r="D8" s="20" t="s">
        <v>43</v>
      </c>
      <c r="E8" s="8" t="s">
        <v>41</v>
      </c>
      <c r="F8" s="20" t="s">
        <v>42</v>
      </c>
      <c r="G8" s="8" t="s">
        <v>0</v>
      </c>
      <c r="H8" s="18">
        <v>20</v>
      </c>
      <c r="I8" s="18">
        <v>20</v>
      </c>
      <c r="J8" s="18">
        <f t="shared" si="2"/>
        <v>0</v>
      </c>
      <c r="K8" s="21">
        <f t="shared" si="0"/>
        <v>1</v>
      </c>
    </row>
    <row r="9" spans="1:11" ht="15.75" customHeight="1">
      <c r="A9" s="18">
        <v>8</v>
      </c>
      <c r="B9" s="8" t="s">
        <v>48</v>
      </c>
      <c r="C9" s="20" t="s">
        <v>49</v>
      </c>
      <c r="D9" s="20" t="s">
        <v>50</v>
      </c>
      <c r="E9" s="19"/>
      <c r="F9" s="20" t="s">
        <v>51</v>
      </c>
      <c r="G9" s="8" t="s">
        <v>0</v>
      </c>
      <c r="H9" s="18">
        <v>5</v>
      </c>
      <c r="I9" s="18">
        <v>5</v>
      </c>
      <c r="J9" s="18">
        <f t="shared" si="2"/>
        <v>0</v>
      </c>
      <c r="K9" s="21">
        <f t="shared" si="0"/>
        <v>1</v>
      </c>
    </row>
    <row r="10" spans="1:11" ht="15.75" customHeight="1">
      <c r="A10" s="18">
        <v>9</v>
      </c>
      <c r="B10" s="8" t="s">
        <v>48</v>
      </c>
      <c r="C10" s="20" t="s">
        <v>49</v>
      </c>
      <c r="D10" s="20" t="s">
        <v>50</v>
      </c>
      <c r="E10" s="19"/>
      <c r="F10" s="20" t="s">
        <v>51</v>
      </c>
      <c r="G10" s="8" t="s">
        <v>2</v>
      </c>
      <c r="H10" s="18">
        <v>5</v>
      </c>
      <c r="I10" s="18">
        <v>5</v>
      </c>
      <c r="J10" s="18">
        <f t="shared" ref="J10" si="3">H10-I10</f>
        <v>0</v>
      </c>
      <c r="K10" s="21">
        <f t="shared" ref="K10" si="4">I10/(I10+J10)</f>
        <v>1</v>
      </c>
    </row>
    <row r="11" spans="1:11" ht="15.75" customHeight="1">
      <c r="A11" s="18">
        <v>10</v>
      </c>
      <c r="B11" s="8" t="s">
        <v>29</v>
      </c>
      <c r="C11" s="20" t="s">
        <v>30</v>
      </c>
      <c r="D11" s="20" t="s">
        <v>52</v>
      </c>
      <c r="E11" s="19"/>
      <c r="F11" s="20" t="s">
        <v>31</v>
      </c>
      <c r="G11" s="8" t="s">
        <v>2</v>
      </c>
      <c r="H11" s="18">
        <v>5</v>
      </c>
      <c r="I11" s="18">
        <v>5</v>
      </c>
      <c r="J11" s="18">
        <f t="shared" si="2"/>
        <v>0</v>
      </c>
      <c r="K11" s="21">
        <f t="shared" si="0"/>
        <v>1</v>
      </c>
    </row>
    <row r="12" spans="1:11" ht="15.75" customHeight="1">
      <c r="A12" s="18">
        <v>11</v>
      </c>
      <c r="B12" s="8" t="s">
        <v>53</v>
      </c>
      <c r="C12" s="20" t="s">
        <v>39</v>
      </c>
      <c r="D12" s="20" t="s">
        <v>54</v>
      </c>
      <c r="E12" s="19" t="s">
        <v>55</v>
      </c>
      <c r="F12" s="20" t="s">
        <v>58</v>
      </c>
      <c r="G12" s="8" t="s">
        <v>0</v>
      </c>
      <c r="H12" s="18">
        <v>15</v>
      </c>
      <c r="I12" s="18">
        <v>15</v>
      </c>
      <c r="J12" s="18">
        <f t="shared" si="2"/>
        <v>0</v>
      </c>
      <c r="K12" s="21">
        <f t="shared" si="0"/>
        <v>1</v>
      </c>
    </row>
    <row r="13" spans="1:11" ht="15.75" customHeight="1">
      <c r="A13" s="18">
        <v>12</v>
      </c>
      <c r="B13" s="8" t="s">
        <v>56</v>
      </c>
      <c r="C13" s="20" t="s">
        <v>39</v>
      </c>
      <c r="D13" s="20" t="s">
        <v>72</v>
      </c>
      <c r="E13" s="19" t="s">
        <v>55</v>
      </c>
      <c r="F13" s="20" t="s">
        <v>59</v>
      </c>
      <c r="G13" s="8" t="s">
        <v>0</v>
      </c>
      <c r="H13" s="18">
        <v>10</v>
      </c>
      <c r="I13" s="8">
        <v>10</v>
      </c>
      <c r="J13" s="18">
        <f t="shared" si="2"/>
        <v>0</v>
      </c>
      <c r="K13" s="21">
        <f t="shared" si="0"/>
        <v>1</v>
      </c>
    </row>
    <row r="14" spans="1:11" ht="15.75" customHeight="1">
      <c r="A14" s="18">
        <v>13</v>
      </c>
      <c r="B14" s="8" t="s">
        <v>53</v>
      </c>
      <c r="C14" s="20" t="s">
        <v>39</v>
      </c>
      <c r="D14" s="20" t="s">
        <v>57</v>
      </c>
      <c r="E14" s="19" t="s">
        <v>55</v>
      </c>
      <c r="F14" s="20" t="s">
        <v>37</v>
      </c>
      <c r="G14" s="8" t="s">
        <v>0</v>
      </c>
      <c r="H14" s="18">
        <v>15</v>
      </c>
      <c r="I14" s="8">
        <v>15</v>
      </c>
      <c r="J14" s="18">
        <f t="shared" si="2"/>
        <v>0</v>
      </c>
      <c r="K14" s="21">
        <f t="shared" si="0"/>
        <v>1</v>
      </c>
    </row>
    <row r="15" spans="1:11" ht="15.75" customHeight="1">
      <c r="A15" s="18">
        <v>14</v>
      </c>
      <c r="B15" s="8" t="s">
        <v>53</v>
      </c>
      <c r="C15" s="20" t="s">
        <v>39</v>
      </c>
      <c r="D15" s="20" t="s">
        <v>61</v>
      </c>
      <c r="E15" s="19" t="s">
        <v>55</v>
      </c>
      <c r="F15" s="20" t="s">
        <v>37</v>
      </c>
      <c r="G15" s="8" t="s">
        <v>0</v>
      </c>
      <c r="H15" s="18">
        <v>15</v>
      </c>
      <c r="I15" s="8">
        <v>15</v>
      </c>
      <c r="J15" s="18">
        <f t="shared" si="2"/>
        <v>0</v>
      </c>
      <c r="K15" s="21">
        <f t="shared" si="0"/>
        <v>1</v>
      </c>
    </row>
    <row r="16" spans="1:11" ht="15.75" customHeight="1">
      <c r="A16" s="18">
        <v>15</v>
      </c>
      <c r="B16" s="8" t="s">
        <v>53</v>
      </c>
      <c r="C16" s="8" t="s">
        <v>39</v>
      </c>
      <c r="D16" s="29" t="s">
        <v>60</v>
      </c>
      <c r="E16" s="8" t="s">
        <v>55</v>
      </c>
      <c r="F16" s="20" t="s">
        <v>62</v>
      </c>
      <c r="G16" s="8" t="s">
        <v>2</v>
      </c>
      <c r="H16" s="18">
        <v>20</v>
      </c>
      <c r="I16" s="8">
        <v>20</v>
      </c>
      <c r="J16" s="18">
        <f t="shared" si="2"/>
        <v>0</v>
      </c>
      <c r="K16" s="21">
        <f t="shared" si="0"/>
        <v>1</v>
      </c>
    </row>
    <row r="17" spans="1:12" ht="15.75" customHeight="1">
      <c r="A17" s="18">
        <v>16</v>
      </c>
      <c r="B17" s="8" t="s">
        <v>53</v>
      </c>
      <c r="C17" s="20" t="s">
        <v>63</v>
      </c>
      <c r="D17" s="20" t="s">
        <v>64</v>
      </c>
      <c r="E17" s="8" t="s">
        <v>65</v>
      </c>
      <c r="F17" s="20" t="s">
        <v>58</v>
      </c>
      <c r="G17" s="8" t="s">
        <v>2</v>
      </c>
      <c r="H17" s="18">
        <v>20</v>
      </c>
      <c r="I17" s="18">
        <v>20</v>
      </c>
      <c r="J17" s="18">
        <f t="shared" si="2"/>
        <v>0</v>
      </c>
      <c r="K17" s="21">
        <f t="shared" si="0"/>
        <v>1</v>
      </c>
    </row>
    <row r="18" spans="1:12" ht="15.75" customHeight="1">
      <c r="A18" s="18">
        <v>17</v>
      </c>
      <c r="B18" s="8" t="s">
        <v>53</v>
      </c>
      <c r="C18" s="20" t="s">
        <v>63</v>
      </c>
      <c r="D18" s="20" t="s">
        <v>66</v>
      </c>
      <c r="E18" s="8" t="s">
        <v>65</v>
      </c>
      <c r="F18" s="20" t="s">
        <v>42</v>
      </c>
      <c r="G18" s="8" t="s">
        <v>0</v>
      </c>
      <c r="H18" s="18">
        <v>30</v>
      </c>
      <c r="I18" s="18">
        <v>30</v>
      </c>
      <c r="J18" s="18">
        <f t="shared" si="2"/>
        <v>0</v>
      </c>
      <c r="K18" s="21">
        <f t="shared" si="0"/>
        <v>1</v>
      </c>
    </row>
    <row r="19" spans="1:12" ht="15.75" customHeight="1">
      <c r="A19" s="18">
        <v>18</v>
      </c>
      <c r="B19" s="8" t="s">
        <v>53</v>
      </c>
      <c r="C19" s="20" t="s">
        <v>39</v>
      </c>
      <c r="D19" s="20" t="s">
        <v>67</v>
      </c>
      <c r="E19" s="8" t="s">
        <v>68</v>
      </c>
      <c r="F19" s="20" t="s">
        <v>58</v>
      </c>
      <c r="G19" s="8" t="s">
        <v>0</v>
      </c>
      <c r="H19" s="18">
        <v>10</v>
      </c>
      <c r="I19" s="18">
        <v>10</v>
      </c>
      <c r="J19" s="18">
        <f t="shared" si="2"/>
        <v>0</v>
      </c>
      <c r="K19" s="21">
        <f t="shared" si="0"/>
        <v>1</v>
      </c>
    </row>
    <row r="20" spans="1:12" ht="15.75" customHeight="1">
      <c r="A20" s="18">
        <v>19</v>
      </c>
      <c r="B20" s="8" t="s">
        <v>53</v>
      </c>
      <c r="C20" s="20" t="s">
        <v>39</v>
      </c>
      <c r="D20" s="19" t="s">
        <v>69</v>
      </c>
      <c r="E20" s="8" t="s">
        <v>68</v>
      </c>
      <c r="F20" s="20" t="s">
        <v>37</v>
      </c>
      <c r="G20" s="8" t="s">
        <v>2</v>
      </c>
      <c r="H20" s="18">
        <v>20</v>
      </c>
      <c r="I20" s="18">
        <v>20</v>
      </c>
      <c r="J20" s="18">
        <f t="shared" si="2"/>
        <v>0</v>
      </c>
      <c r="K20" s="21">
        <f t="shared" si="0"/>
        <v>1</v>
      </c>
      <c r="L20" s="20"/>
    </row>
    <row r="21" spans="1:12" ht="15.75" customHeight="1">
      <c r="A21" s="18">
        <v>20</v>
      </c>
      <c r="B21" s="8" t="s">
        <v>53</v>
      </c>
      <c r="C21" s="20" t="s">
        <v>70</v>
      </c>
      <c r="D21" s="20" t="s">
        <v>71</v>
      </c>
      <c r="E21" s="19"/>
      <c r="F21" s="20" t="s">
        <v>42</v>
      </c>
      <c r="G21" s="8" t="s">
        <v>0</v>
      </c>
      <c r="H21" s="18">
        <v>5</v>
      </c>
      <c r="I21" s="18">
        <v>5</v>
      </c>
      <c r="J21" s="18">
        <f t="shared" si="2"/>
        <v>0</v>
      </c>
      <c r="K21" s="21">
        <f t="shared" si="0"/>
        <v>1</v>
      </c>
    </row>
    <row r="22" spans="1:12" ht="15.75" customHeight="1">
      <c r="A22" s="18">
        <v>21</v>
      </c>
      <c r="B22" s="8" t="s">
        <v>53</v>
      </c>
      <c r="C22" s="20" t="s">
        <v>70</v>
      </c>
      <c r="D22" s="20" t="s">
        <v>71</v>
      </c>
      <c r="E22" s="19"/>
      <c r="F22" s="20" t="s">
        <v>42</v>
      </c>
      <c r="G22" s="8" t="s">
        <v>2</v>
      </c>
      <c r="H22" s="18">
        <v>5</v>
      </c>
      <c r="I22" s="18">
        <v>5</v>
      </c>
      <c r="J22" s="18">
        <f t="shared" ref="J22" si="5">H22-I22</f>
        <v>0</v>
      </c>
      <c r="K22" s="21">
        <f t="shared" ref="K22" si="6">I22/(I22+J22)</f>
        <v>1</v>
      </c>
    </row>
    <row r="23" spans="1:12" ht="15.75" customHeight="1">
      <c r="A23" s="18">
        <v>22</v>
      </c>
      <c r="B23" s="8" t="s">
        <v>75</v>
      </c>
      <c r="C23" s="20" t="s">
        <v>70</v>
      </c>
      <c r="D23" s="20" t="s">
        <v>79</v>
      </c>
      <c r="E23" s="19"/>
      <c r="F23" s="20" t="s">
        <v>75</v>
      </c>
      <c r="G23" s="8" t="s">
        <v>2</v>
      </c>
      <c r="H23" s="18">
        <v>30</v>
      </c>
      <c r="I23" s="18">
        <v>0</v>
      </c>
      <c r="J23" s="18">
        <f>H23-I23</f>
        <v>30</v>
      </c>
      <c r="K23" s="21">
        <f t="shared" si="0"/>
        <v>0</v>
      </c>
    </row>
    <row r="24" spans="1:12" ht="15.75" customHeight="1">
      <c r="A24" s="18">
        <v>23</v>
      </c>
      <c r="B24" s="8" t="s">
        <v>48</v>
      </c>
      <c r="C24" s="20" t="s">
        <v>76</v>
      </c>
      <c r="D24" s="20" t="s">
        <v>80</v>
      </c>
      <c r="E24" s="19" t="s">
        <v>81</v>
      </c>
      <c r="F24" s="20" t="s">
        <v>48</v>
      </c>
      <c r="G24" s="8" t="s">
        <v>2</v>
      </c>
      <c r="H24" s="18">
        <v>30</v>
      </c>
      <c r="I24" s="18">
        <v>30</v>
      </c>
      <c r="J24" s="18">
        <f t="shared" si="2"/>
        <v>0</v>
      </c>
      <c r="K24" s="21">
        <f t="shared" si="0"/>
        <v>1</v>
      </c>
    </row>
    <row r="25" spans="1:12" ht="15.75" customHeight="1">
      <c r="A25" s="18">
        <v>24</v>
      </c>
      <c r="B25" s="8" t="s">
        <v>53</v>
      </c>
      <c r="C25" s="20" t="s">
        <v>39</v>
      </c>
      <c r="D25" s="20" t="s">
        <v>82</v>
      </c>
      <c r="E25" s="8" t="s">
        <v>77</v>
      </c>
      <c r="F25" s="20" t="s">
        <v>37</v>
      </c>
      <c r="G25" s="8" t="s">
        <v>2</v>
      </c>
      <c r="H25" s="18">
        <v>20</v>
      </c>
      <c r="I25" s="18">
        <v>0</v>
      </c>
      <c r="J25" s="18">
        <f t="shared" si="2"/>
        <v>20</v>
      </c>
      <c r="K25" s="21">
        <f t="shared" si="0"/>
        <v>0</v>
      </c>
    </row>
    <row r="26" spans="1:12" ht="15.75" customHeight="1"/>
    <row r="27" spans="1:12" ht="15.75" customHeight="1"/>
    <row r="28" spans="1:12" ht="15.75" customHeight="1"/>
    <row r="29" spans="1:12" ht="15.75" customHeight="1"/>
    <row r="30" spans="1:12" ht="15.75" customHeight="1"/>
    <row r="31" spans="1:12" ht="15.75" customHeight="1"/>
    <row r="32" spans="1:1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D8" sqref="D8"/>
    </sheetView>
  </sheetViews>
  <sheetFormatPr defaultColWidth="12.5703125" defaultRowHeight="15" customHeight="1"/>
  <cols>
    <col min="1" max="1" width="12.5703125" customWidth="1"/>
    <col min="2" max="2" width="19" customWidth="1"/>
    <col min="3" max="3" width="20.42578125" customWidth="1"/>
    <col min="4" max="4" width="19.42578125" customWidth="1"/>
    <col min="5" max="6" width="12.57031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31">
        <v>210</v>
      </c>
      <c r="C3" s="32">
        <v>210</v>
      </c>
      <c r="D3" s="33">
        <v>0</v>
      </c>
    </row>
    <row r="4" spans="1:4" ht="15.75" customHeight="1">
      <c r="A4" s="30" t="s">
        <v>2</v>
      </c>
      <c r="B4" s="34">
        <v>200</v>
      </c>
      <c r="C4" s="35">
        <v>135</v>
      </c>
      <c r="D4" s="36">
        <v>65</v>
      </c>
    </row>
    <row r="5" spans="1:4" ht="15.75" customHeight="1">
      <c r="A5" s="28" t="s">
        <v>78</v>
      </c>
      <c r="B5" s="37">
        <v>410</v>
      </c>
      <c r="C5" s="38">
        <v>345</v>
      </c>
      <c r="D5" s="39">
        <v>65</v>
      </c>
    </row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0.87804878048780488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5703125" defaultRowHeight="1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  <col min="6" max="6" width="12.57031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410</v>
      </c>
      <c r="B2" s="10">
        <f>SUM('liste des taches'!I:I)</f>
        <v>360</v>
      </c>
      <c r="C2" s="10">
        <f>SUM('liste des taches'!J:J)</f>
        <v>50</v>
      </c>
      <c r="D2" s="11">
        <f>(B2/(B2+C2))</f>
        <v>0.87804878048780488</v>
      </c>
      <c r="E2" s="11">
        <f>((B2+C2)-A2)/A2</f>
        <v>0</v>
      </c>
    </row>
    <row r="3" spans="1:5" ht="15.75" customHeight="1">
      <c r="A3" s="12"/>
      <c r="B3" s="12"/>
      <c r="C3" s="13">
        <f>C2/60</f>
        <v>0.83333333333333337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6" workbookViewId="0">
      <selection activeCell="L17" sqref="L17"/>
    </sheetView>
  </sheetViews>
  <sheetFormatPr defaultColWidth="12.5703125" defaultRowHeight="15" customHeight="1"/>
  <cols>
    <col min="1" max="7" width="12.57031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NATIORA</cp:lastModifiedBy>
  <dcterms:created xsi:type="dcterms:W3CDTF">2026-02-10T08:54:00Z</dcterms:created>
  <dcterms:modified xsi:type="dcterms:W3CDTF">2026-03-30T17:52:03Z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